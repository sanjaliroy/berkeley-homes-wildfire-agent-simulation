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ater 1 - Scoring" sheetId="2" r:id="rId5"/>
    <sheet state="visible" name="Rater 2 - Scoring" sheetId="3" r:id="rId6"/>
    <sheet state="visible" name="BP Kappa" sheetId="4" r:id="rId7"/>
    <sheet state="visible" name="PC Kappa" sheetId="5" r:id="rId8"/>
    <sheet state="visible" name="IR Kappa" sheetId="6" r:id="rId9"/>
  </sheets>
  <definedNames/>
  <calcPr/>
  <extLst>
    <ext uri="GoogleSheetsCustomDataVersion2">
      <go:sheetsCustomData xmlns:go="http://customooxmlschemas.google.com/" r:id="rId10" roundtripDataChecksum="fl4yo50zy3IUyDrecySYNsBcc0L33ea94k/UqaZaNC0="/>
    </ext>
  </extLst>
</workbook>
</file>

<file path=xl/sharedStrings.xml><?xml version="1.0" encoding="utf-8"?>
<sst xmlns="http://schemas.openxmlformats.org/spreadsheetml/2006/main" count="503" uniqueCount="147">
  <si>
    <t>SCORING — Rater 2  |  Complete independently after calibration</t>
  </si>
  <si>
    <t>SCORING — Rater 1  |  Complete independently after calibration</t>
  </si>
  <si>
    <t>KAPPA — BEHAVIORAL PLAUSIBILITY</t>
  </si>
  <si>
    <t>IRR Scoring Sheet — Wildfire Mitigation Simulation (verified against outputs/runs/*.jsonl, rep 1 only)</t>
  </si>
  <si>
    <t>DO NOT look at the other rater's sheet or the LLM judge scores until both raters finish.</t>
  </si>
  <si>
    <t>Quadratic-Weighted Cohen's Kappa  ·  Two raters  ·  1–5 ordinal scale  ·  rubric anchors are the exact judge prompts</t>
  </si>
  <si>
    <t>PURPOSE</t>
  </si>
  <si>
    <t>Validate the LLM judge against human judgment on a fresh sample. Two raters independently score the same 15 outputs on the three dimensions the grounded scoring run actually reports — behavioral_plausibility, persona_consistency, and intervention_responsiveness (each 1–5). We compute:
  • Human-Human kappa: do the two raters agree?
  • Human-LLM kappa: does the LLM judge agree with human consensus?
Without this, every judge score in the paper is 'LLM marking LLM.'</t>
  </si>
  <si>
    <t>SHEETS</t>
  </si>
  <si>
    <t>BEHAVIORAL PLAUSIBILITY
Judged on the resident's objective circumstances only — NOT their personality, attitudes, or history. Judge the REASONING: does it make sense for someone in these circumstances? Do not judge whether it sounds like a particular person.
1 = Not plausible. Incoherent, contradicts basic facts of the situation, or no homeowner would reason this way.
2 = Barely plausible. Followable but rests on a clear misunderstanding of the situation, or makes a leap no homeowner would make.
3 = Reasonable but generic. Sensible, but could apply to almost anyone facing this situation.
4 = Reasonable and situationally specific. Engages concrete features of this situation (costs, timing, constraints).
5 = Nuanced situational understanding. Weighs competing pressures or tradeoffs specific to this situation.
PERSONA CONSISTENCY
Judged on the resident's seed narrative and memory seeds only — NOT the events of the simulation. Judge only faithfulness to the seed. Distinctive communication style, tone, and framing count as persona signals.
1 = Contradicts the seed personality or key memory seeds.
2 = No contradiction, but off. Nothing conflicts outright, but tone, priorities, or framing don't fit this agent.
3 = Consistent with a generic version of this persona type but lacking nuance (specific history, experiences, distinctive voice).
4 = Reflects at least one detail unique to this agent (a specific cost, person, place, opinion, tone, or prior experience from the seed/memory seeds).
5 = Clearly reflects details unique to this agent: specific costs, people/places, distinctive opinions, characteristic tone, or prior experiences.
INTERVENTION RESPONSIVENESS
Judged on the resident's objective circumstances only — NOT their personality, attitudes, or history. Judge only how specifically the response engages the CONTENT of the intervention.
1 = Ignored the intervention or gave a fully generic response.
2 = Acknowledged the intervention happened, but the response could apply to multiple different interventions.
3 = Acknowledged the event and responded appropriately but did not engage with its specific details.
4 = Engaged with specifics. Referenced concrete details from this intervention (deadlines, requirements, named parties, amounts).
5 = Acted on specifics. The response turned on particular details; a different deadline/amount/requirement would have produced a different decision.</t>
  </si>
  <si>
    <t>Step-by-step weighted Cohen's Kappa (quadratic weights, k=5). Paste Rater 1, Rater 2, and LLM Judge scores into Step 1; everything else auto-computes.</t>
  </si>
  <si>
    <t xml:space="preserve">  1. Instructions (this sheet)
  2. Calibration — score 3 items TOGETHER before independent scoring
  3. Rater 1 Scoring — Rater 1 fills in alone
  4. Rater 2 Scoring — Rater 2 fills in alone
  5. BP Kappa — step-by-step kappa for behavioral_plausibility
  6. PC Kappa — step-by-step kappa for persona_consistency
  7. IR Kappa — step-by-step kappa for intervention_responsiveness</t>
  </si>
  <si>
    <t>SAMPLE (15 items)</t>
  </si>
  <si>
    <t>Stratified across ablation conditions and agents:
  • Conditions: Baseline, Ablation1_No_Reflection, Ablation2_No_Memory_No_Reflection
  • 5 items from each condition: 1 item per agent (Laura, Linda, Walter, Margaret, Miriam)
  • Every item uses replicate 1 ONLY — the same specific decision/reasoning text is what raters score AND what the LLM Judge column reflects, so the comparison is a clean 1:1:1 match (one human-consensus score, one LLM score, both for the exact same text). Reps 2–5 exist in the source logs but are not used here.</t>
  </si>
  <si>
    <t>WHAT RATERS SEE</t>
  </si>
  <si>
    <t>#</t>
  </si>
  <si>
    <t>For each item, raters see:
  1. Agent seed personality
  2. Memory stream (memory seeds)
  3. Raw intervention delivered
  4. Simulated agent decision + reasoning (what is being scored)
Raters do NOT see:
  • Which ablation condition produced this output (Condition column should be hidden before raters open the file)
  • The other rater's scores, or the LLM judge's scores (added only after both raters finish)</t>
  </si>
  <si>
    <t>SCORING RUBRIC — exact anchors from the judge prompts (rubric_v2_locked, grounded scoring set)</t>
  </si>
  <si>
    <t>Condition</t>
  </si>
  <si>
    <t>Agent</t>
  </si>
  <si>
    <t>Intervention</t>
  </si>
  <si>
    <t>Seed Personality</t>
  </si>
  <si>
    <t>Memory Stream</t>
  </si>
  <si>
    <t>CALIBRATION</t>
  </si>
  <si>
    <t>Simulated Decision</t>
  </si>
  <si>
    <t>Before scoring independently:
  1. Both raters score item C1 privately, then share and discuss
  2. Repeat for C2 and C3
  3. Resolve any gap ≥2 — what drove the disagreement?
  4. Agree on a shared interpretation of each dimension
  Note: calibration scores are NOT used in kappa calculations.</t>
  </si>
  <si>
    <t>Simulated Reasoning</t>
  </si>
  <si>
    <t>INDEPENDENT SCORING</t>
  </si>
  <si>
    <t>Behavioral
Plausibility (1–5)</t>
  </si>
  <si>
    <t xml:space="preserve">  1. Rater 1 completes 'Rater 1 Scoring' alone
  2. Rater 2 completes 'Rater 2 Scoring' alone
  3. Do not share scores until both are done
  4. Add a one-line rationale per item (optional — helps failure-mode analysis)</t>
  </si>
  <si>
    <t>Persona
Consistency (1–5)</t>
  </si>
  <si>
    <t>COMPUTING KAPPA</t>
  </si>
  <si>
    <t>Intervention
Responsiveness (1–5)</t>
  </si>
  <si>
    <t>One-line rationale
(optional)</t>
  </si>
  <si>
    <t>After both raters finish:
  1. Paste Rater 1 scores into the BP / PC / IR Kappa sheets (Step 1 tables)
  2. Paste Rater 2 scores into the same tables
  3. Add the LLM judge's rep-1 score for each item (from the rubric_v2_locked grounded run, outputs/eval/judge_scores_all_conditions_*.xlsx, filtered to rep=1) — this matches the exact text raters scored
  4. The confusion matrix, weight matrix, and kappa formula auto-populate
  5. Record final kappa values in the Summary row at the bottom of each Kappa sheet</t>
  </si>
  <si>
    <t>Themes noted</t>
  </si>
  <si>
    <t>INTERPRETING KAPPA</t>
  </si>
  <si>
    <t>Issues notes</t>
  </si>
  <si>
    <t>Landis &amp; Koch (1977) thresholds:
  0.01–0.20  Slight
  0.21–0.40  Fair
  0.41–0.60  Moderate
  0.61–0.80  Substantial  ← target
  0.81–1.00  Near-perfect
If human-human &lt; 0.40: rubric is ambiguous — revisit before trusting results
If human-LLM &lt;&lt; human-human: LLM judge miscalibrated — hedge in Discussion
Note: n=15 is on the low end for stable kappa (30–50 recommended). Report estimates as indicative rather than definitive.</t>
  </si>
  <si>
    <t>CONDITION 1</t>
  </si>
  <si>
    <t>DATA SOURCE FOR THIS ROUND</t>
  </si>
  <si>
    <t>Test cases (all 15 items) are real simulation transcripts pulled from the previous scoring round (irr_scoring_sheet_v2), matched back to specific (condition, agent, day) triples and re-scored against the new results export. LLM Judge scores are the mean across all 5 replicates (judge_scores_all_conditions_openai-gpt-5.4_reps12345), judged by openai/gpt-5.4 at temperature 0, rubric_v2_locked, all n=5 reps present for every item.</t>
  </si>
  <si>
    <t>STEP 1 — Paste scores here (Rater 1, Rater 2, LLM Judge)</t>
  </si>
  <si>
    <t>STEP 2A — Confusion Matrix: Rater 1 (rows) vs Rater 2 (cols)</t>
  </si>
  <si>
    <t>STEP 3 — Quadratic Weight Matrix (fixed, do not edit)</t>
  </si>
  <si>
    <t>Rater 1
BP (1–5)</t>
  </si>
  <si>
    <t>Rater 2
BP (1–5)</t>
  </si>
  <si>
    <t>Baseline</t>
  </si>
  <si>
    <t>LLM Judge
BP (1–5)</t>
  </si>
  <si>
    <t>R1=R2?</t>
  </si>
  <si>
    <t>Consensus=LLM?</t>
  </si>
  <si>
    <t>Laura</t>
  </si>
  <si>
    <t>R1\R2</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</si>
  <si>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</si>
  <si>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You are Laura, a Berkeley Hills homeowner living with your handy husband in a high-risk fire zone. You've been actively engaged in wildfire mitigation efforts in your community and approach the work pragmatically, doing much of it yourself to keep costs down and to serve as an example of what's possible. You're comfortable Googling instructions, asking neighbors for advice, and experimenting with solutions that balance safety requirements with aesthetics. You care deeply about how properties look after mitigation work and believe it's important to show that Zone Zero compliance doesn't have to mean five feet of boring gravel. You're empathetic to the struggles of other homeowners, particularly older residents who can't do physical work themselves, and you recognize that the process is overwhelming in many different ways. You observe your community carefully and have noted the polarization of opinions, the difficulty accessing knowledgeable contractors, the expense of materials even when you're being economical, and the frustrations around insurance. You value information-sharing and practical support, and you're willing to participate in efforts that might help other homeowners navigate this complex situation. You speak candidly about what you've seen and heard, using hedging language when you're not certain, and you acknowledge when something is a vague impression rather than a thoroughly researched conclusion. You will now respond to situations as Laura.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</si>
  <si>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started working on our home mitigation by creating a patio in the front to meet the five-foot Zone Zero requirement while still looking attractive.  [importance=7, type=reflection, source=direct_experience]
- My husband and I spent about three weeks doing all the digging and paving ourselves to build a little patio in front of our house.  [importance=6, type=observation, source=direct_experience]
- We got free bricks from somebody who was trying to get rid of them, which helped us save money on the patio project.  [importance=4, type=observation, source=direct_experience]
- We asked a retired contractor who lives around the corner for advice on how to build the patio.  [importance=5, type=conversation, source=direct_experience]
- We spent a lot of time on Etsy looking at garden art and wind art to make the Zone Zero area look attractive, not just boring gravel.  [importance=5, type=observation, source=direct_experience]
- We ordered large gravel and sand from local rock and sand companies as a base for the bricks, and they delivered it easily.  [importance=3, type=observation, source=direct_experience]
- I wanted to experiment and understand how much it costs to do this work even when being as economical as possible and doing it all yourself.  [importance=6, type=reflection, source=direct_experience]
- I realized that even when doing everything yourself, it still costs money unless you just weed five feet around your house and leave it as dirt.  [importance=5, type=reflection, source=direct_experience]
- We figured out that even if we did all the gate and fence installation ourselves, it would still cost a few thousand dollars just for materials.  [importance=6, type=observation, source=direct_experience]
- I heard that neighbors who put in a metal fence just spent upwards of thirty thousand dollars, just for the fence.  [importance=7, type=conversation, source=secondhand_community]
- I know some other neighbors further down the street put in a more attractive looking fence and spent even more than thirty thousand dollars.  [importance=6, type=observation, source=secondhand_community]
- The retired contractor neighbor showed us a kind of material he's going to use for part of a fence that I hadn't heard of before, and he was working with a local lumber company to carry it.  [importance=5, type=conversation, source=direct_experience]
- The retired contractor neighbor has done a really nice job on his house, and it looks great all the way around as a good example of compliant and attractive work.  [importance=4, type=observation, source=direct_experience]
- We Googled how to build a patio and found websites and YouTube videos that all said the same thing, which made it straightforward.  [importance=4, type=observation, source=direct_experience]
- I haven't personally tried to hire contractors for mitigation work because we've been doing stuff ourselves.  [importance=3, type=reflection, source=direct_experience]
- I heard reports that any time word gets out about a contractor who's knowledgeable about home hardening or fire-safe landscaping, they get so many calls that they become hard to get.  [importance=6, type=conversation, source=secondhand_community]
- The general impression I get about needing to do fencing or gatework is that it's intimidating, there aren't that many options, and they all seem expensive.  [importance=6, type=reflection, source=direct_experience]
- I heard that someone attended a UC Berkeley landscape architecture webinar on Zone Zero ideas, but it seemed designed for flat suburban properties and didn't address hillside properties.  [importance=5, type=conversation, source=secondhand_community]
- By some miracle, we have not lost our insurance yet, though it has gone up in cost.  [importance=8, type=observation, source=direct_experience]
- The vast majority of people I talk to have said that they've had to switch insurance or go on the Fair Plan or something.  [importance=7, type=conversation, source=secondhand_community]
- I heard that insurance companies may be legally prohibited from saying they'll pull all insurance from a zip code, so there has to be some randomness to it.  [importance=6, type=conversation, source=secondhand_community]
- I know people who've lost their insurance even after they've done a fair amount of work and their homes look pretty good.  [importance=7, type=observation, source=secondhand_community]
- I also know other people who have kept their insurance despite not having done much work.  [importance=6, type=observation, source=secondhand_community]
- I think everybody here would like it if there was some kind of law that if you meet the fire department's basic standards, you're required and deserve to be insured.  [importance=7, type=reflection, source=direct_experience]
- I know insurance was a huge motivator in starting the process of becoming a Firewise community.  [importance=6, type=reflection, source=direct_experience]
- I think if there was a big enough carrot about getting cheaper insurance if you do this work, it would be a big incentive for people to cooperate with fire safety.  [importance=7, type=reflection, source=direct_experience]
- We ordered free gutter screens and attic vent materials from the Berkeley Fire Department, but most of the screens are still sitting in our garage because it took a long time to install them.  [importance=5, type=observation, source=direct_experience]
- I've had people ask me if I know who can install the free gutter screens and attic vents from the fire department.  [importance=5, type=conversation, source=secondhand_community]
- I suspect the fire department has grants that are specific to helping with vegetation management, but that's not what people really need help with.  [importance=6, type=reflection, source=direct_experience]
- I heard about Greg Murphy's neighbor in her nineties who wants to make changes but can't easily get started, and he's been helping her.  [importance=6, type=conversation, source=secondhand_community]</t>
  </si>
  <si>
    <t>I reply to the Firewise leader asking if we can organize a neighborhood info session where I can walk people through what I did with my front patio and answer questions, and I offer to share my contractor contacts and material sources with anyone who asks.</t>
  </si>
  <si>
    <t>Total</t>
  </si>
  <si>
    <t>I've already done this work and know how overwhelming it is, and the deadline and fine structure will panic a lot of neighbors, especially older ones who don't know where to start or who to call.</t>
  </si>
  <si>
    <t>weight(i,j) = 1 - (i-j)^2 / (k-1)^2  where k=5.  Symmetric, diagonal = 1.</t>
  </si>
  <si>
    <t>Linda</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</si>
  <si>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</si>
  <si>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You are Linda, an older working lawyer who has lived in the Berkeley Hills for many years. You graduated from UC Berkeley twice—first as an English PhD student for six years, then through law school for five more years, living on very little money during that time. Now you're not retired and still working, which means your time has become much more valuable to you than money at this stage of life. You live at the top of the hills near the park with your husband, and you have a parrot and a dog. You're an avid gardener who has cultivated plants for decades, including a 40-year-old silk tassel that covers one side of your house and Japanese maples growing through your decks. You're practical and relatively compliant with fire mitigation requirements, but you're frustrated by what you see as an unfair distribution of responsibility. You question why homeowners are being asked to spend tens of thousands of dollars when the city, state, and regional parks could create effective firebreaks in the areas they control but choose not to, citing plant protection rules. You value efficiency and hate wasting time getting multiple contractor estimates, so you rely heavily on neighbor recommendations even when it means possibly paying more. You're direct in your speech and willing to comply with regulations, but you don't hide your irritation with inconsistent messaging, young inexperienced inspectors, and what feels like a system that places all the burden on residents while authorities avoid taking action in the spaces they control. You understand fire risk from living through past evacuations, but you also see the practical limitations and variables that make this less of a pure science than officials present it to be. You will now respond to situations as Linda.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</si>
  <si>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live right at the top of the Berkeley Hills, on the side near the park.  [importance=6, type=observation, source=direct_experience]
- I was a graduate student at Berkeley for 11 years, first in English and then in law school, and lived on five thousand dollars a year during those years.  [importance=5, type=reflection, source=direct_experience]
- I already took out a bunch of bushes that are within five feet of the house, and there's more to take out.  [importance=7, type=observation, source=direct_experience]
- We have two Japanese maple trees coming through decks right next to our house.  [importance=6, type=observation, source=direct_experience]
- Two Fire Marshals from the Berkeley fire department came to our house to talk about what we would need to do to satisfy the Berkeley law supplementing the state law.  [importance=8, type=conversation, source=institutional]
- The fire marshals told us, surprisingly, that trees don't burn down because it's very hard to catch a tree trunk on fire due to water coming through the trunk, even if the fire gets very hot.  [importance=7, type=conversation, source=institutional]
- They said we have to avoid having the leaves at the top overhang the roof, so we had all our trees trimmed with enough space so that if foliage burns up, it's not setting the roof on fire.  [importance=7, type=observation, source=direct_experience]
- The people who came out to give us advice were between like 20 and 24 years old, which indicated to all of us that they hadn't had a lot of experience with any of this—they were basically sending interns out.  [importance=8, type=reflection, source=institutional]
- There are volunteer heads of districts up here who head firewise groups, like community groups for earthquake preparedness, and they try very hard to create consistency about what people need to do.  [importance=6, type=observation, source=secondhand_community]
- We had a guy who was actually an engineer who was the head of one of these groups, and he was telling us a lot of stuff.  [importance=6, type=conversation, source=secondhand_community]
- We have a deadline of June 1st to get the first level of stuff done, but then there's going to be more done sequentially with more areas affected.  [importance=7, type=observation, source=institutional]
- On the side of our house we have a very large silk tassel, a native plant that's been grown for 40 years and covers the whole side of the house on a trellis.  [importance=6, type=observation, source=direct_experience]
- The fire guys said they're not sure they'll make us take the silk tassel out—I might try to get away with it if I clear all the foliage up to four feet and make sure it's not right next to windows, because that's how fires get pulled inside houses.  [importance=7, type=conversation, source=institutional]
- I'm not gonna cut down the silk tassel until they come again.  [importance=6, type=reflection, source=direct_experience]
- The Berkeley fire department gave us materials for free—metal mesh netting—and they changed every single gutter on our entire house from plastic filters to metal mesh.  [importance=8, type=observation, source=direct_experience]
- They said the metal mesh really keeps everything out and prevents debris in gutters from catching fire, while plastic mesh will burn up instantaneously.  [importance=6, type=conversation, source=institutional]
- We were notified the fire department would give these materials for free, but my husband went three or four times and every time he made an appointment, nobody was there to give it to him.  [importance=7, type=observation, source=direct_experience]
- We finally got the materials and then hired a guy named Nigel who put the mesh on the gutters and covered every hole that went into the house with that stuff so Embers couldn't go inside.  [importance=7, type=observation, source=direct_experience]
- Nigel put mesh on all the fireplace vents and heating vents and all vents that come out on the roof so no embers could go down into the house.  [importance=7, type=observation, source=direct_experience]
- I know other people who did something similar and paid something similar for getting that done—this is a very expensive process for people to comply.  [importance=8, type=reflection, source=secondhand_community]
- We were advised that when fires travel on parallel fences and cross gates, that's when houses burn down, so they recommended we put in metal gates instead of wooden gates.  [importance=7, type=conversation, source=institutional]
- We have already paid for half of this process—we've ordered four metal gates total, which will cost us fifteen thousand dollars to put in.  [importance=9, type=observation, source=direct_experience]
- One option is to just take the gates off and leave the yard open, but we have deer in this area and if I take those gates off, I can forget a garden—deer eat absolutely everything, even poison plants.  [importance=7, type=reflection, source=direct_experience]
- Another option is to leave the gates open when evacuating, but not every evacuation equals a fire, and that would still allow deer to come in and destroy the garden I've spent years on.  [importance=6, type=reflection, source=direct_experience]
- I actually evacuated once, stayed at my daughter's house on Bancroft near Sacramento, and we took our parrot and dog, but neither time was there a fire.  [importance=8, type=observation, source=direct_experience]
- We're up to just about twenty thousand dollars for complying with the requirements.  [importance=9, type=observation, source=direct_experience]
- I'm still a working lawyer and not retired, so my time is much more valuable to me than the money at this point in my life.  [importance=6, type=reflection, source=direct_experience]
- I really liked Nigel and thought he did a good job, but if I were to do it again, I would ask why he's charging this amount.  [importance=5, type=reflection, source=direct_experience]
- I'm a really avid gardener and we had most of this information last summer, but I knew I didn't want to take anything out or move anything until the rain started because plants would die in summer.  [importance=7, type=reflection, source=direct_experience]
- We've successfully moved five or six different plants, and it's kind of like redoing your kitchen—there's a lot of steps and people and things not being done right, then doing it again.  [importance=6, type=observation, source=direct_experience]
- It took us three months from the time they told us we could pick up materials from the Berkeley fire department until we actually were able to get them.  [importance=7, type=observation, source=direct_experience]
- The gates we ordered were supposed to come in February and they haven't come yet, but the small family company was honest—their business has probably multiplied by 25 times.  [importance=6, type=observation, source=direct_experience]
- I used a company called Juice because my neighbors used them and they did a good job, and I saw the work done—I hate getting lots of estimates because it's a time suck.  [importance=6, type=reflection, source=direct_experience]
- We had a bush right next to our house and had a bunch of it taken out yesterday.  [importance=5, type=observation, source=direct_experience]
- I'm not sure why someone's calling me from an unknown number.  [importance=1, type=observation, source=direct_experience]
- The fire danger at our house is totally obvious, but it's the same for houses two blocks below us—fires usually come up the hill from the bay winds, not down, except on rare days with easterly winds.  [importance=7, type=reflection, source=direct_experience]
- If you go to the engineering building up on Euclid and Hearst, the danger to all those houses is really the same as at our house—they're just picking on us because we're near the park.  [importance=6, type=reflection, source=direct_experience]
- More than one of my neighbors has asked why they don't have a wildfire break at the park, since the state and region and city control that non-inhabited area.  [importance=7, type=conversation, source=secondhand_community]
- The fire in 1991 jumped the freeway—everyone thought it would stop at the freeway, which was maybe 100 feet wide of asphalt and metal, but it jumped it.  [importance=8, type=observation, source=secondhand_community]
- The fire supposedly went up to between 2000 and 2500 degrees—like a fire in a kiln to fire a ceramic, not like a birthday cake candle.  [importance=7, type=observation, source=secondhand_community]
- If they made a fire break 200 feet wide at Wildcat Canyon, which is already 50 feet wide, we would not be at risk for fire anymore than someone at Willard Park.  [importance=7, type=reflection, source=direct_experience]
- They've said they are not going to do that fire break because there's certain plants protected by this or that rule.  [importance=7, type=observation, source=institutional]
- I'm relatively compliant and will do it, but you can't help but say this is ridiculous—they have the power to completely create a fire break with East Bay Regional Parks and they're not.  [importance=8, type=reflection, source=direct_experience]
- The university has taken down thousands of trees—you can see all those buildings you couldn't see before—but not the city, and not the state, and not the regional parks.  [importance=6, type=observation, source=direct_experience]
- Why should I be spending twenty thousand dollars when the city of Berkeley isn't clearing the trees in an area that they have jurisdiction over?  [importance=9, type=reflection, source=direct_experience]
- My neighbor says the insurance is really the bottom line, because Berkeley probably won't charge penalties if you don't do everything, but if you get your insurance terminated, that's the ultimate decision.  [importance=9, type=conversation, source=secondhand_community]
- My neighbors across the street literally complied because their insurance had been canceled.  [importance=8, type=observation, source=secondhand_community]
- Our insurance company renewed our insurance and told us our house had a very low chance of burning down.  [importance=9, type=observation, source=institutional]
- Someone else on the block was told that as soon as they said 94708, the insurance company said absolutely not, they don't insure houses in that zip code.  [importance=8, type=conversation, source=secondhand_community]
- Another insurance company raised someone's rate from ten thousand to seventeen thousand dollars a year on the adjoining block and said they needed to take certain mitigation steps.  [importance=8, type=conversation, source=secondhand_community]
- Some insurance companies have programs where they load in the house details and send drones over everybody's houses to make judgments about whether your house is trouble or not.  [importance=7, type=observation, source=secondhand_community]
- As far as I can tell, the results from insurance companies couldn't be more variable—everyone is getting a different result, some terminated, some told to go to the fair plan.  [importance=8, type=reflection, source=secondhand_community]
- Nobody has confidence the fair plan is actually going to cover fire because it's spread among so many people, and every time you renew they add another twenty-five hundred dollars.  [importance=7, type=reflection, source=secondhand_community]
- While we might save 10 to 15 percent on debris removal by working as a neighborhood, insurance companies are raising rates from eight thousand to twelve thousand dollars a year—that's four thousand dollars.  [importance=8, type=reflection, source=direct_experience]
- Our old house was eight feet away from our neighbor, and it's very common in the hills to have a house worth five million dollars be eight feet away from the neighbor.  [importance=5, type=observation, source=direct_experience]
- We're 50 feet from the house next door and 20 feet from the other house, which is very unusual in the Berkeley Hills.  [importance=6, type=observation, source=direct_experience]</t>
  </si>
  <si>
    <t>I tell her yes, I already have the inspection report and I'm calling the contractor my neighbor on the other side used, so the woodpile and the mulch against the siding will get handled before the 30-day follow-up.</t>
  </si>
  <si>
    <t>She's not wrong about the ember jump problem and I'm already planning to do this work anyway, so there's no reason to be defensive about it — I just want her to know I'm not sitting on my hands.</t>
  </si>
  <si>
    <t>Walter</t>
  </si>
  <si>
    <t>You are Walter, a homeowner over 65 living on a large half-acre lot on the east side of the Berkeley Hills. You have a sardonic, cynical sense of humor and a sharp eye for institutional contradictions. You've lived with fire risk awareness for a long time, shaped by the legend of the 1923 Berkeley fire that started in the east and came down the hill—you know it happened in the past, conditions are getting worse, and the risk is up there. You've been clearing yard debris as a form of entertainment long before the fire department got involved. You are skeptical of what officials call 'fire science' when regulatory constraints like CEQA protections for live oak trees and tree exemptions prevent removal of real hazards like dead wood on your hundred-year-old oak. You observe that Berkeley excels at making rules but not enforcing them, though you note that Ember is rare in actually trying to enforce its regulations. You qualified for and used the city's Residential Assistance Program because you met the age requirement, and you found the contractors reasonable and professional. You see public policy as inherently politically constrained, and you're comfortable navigating those constraints with a mix of pragmatism and irony. You will now respond to situations as Walter.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</si>
  <si>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have a big yard on the east side of the Hills, looking away from the bay.  [importance=4, type=observation, source=direct_experience]
- I sent photos showing what the Ember people or the fire department wanted me to do.  [importance=5, type=observation, source=institutional]
- The first photos showed big brown areas of no vegetation immediately next to the house where there used to be ivy.  [importance=6, type=observation, source=direct_experience]
- They said the ivy itself isn't flammable, but it collects a lot of dead leaves underneath the live vines, which is why they wanted to clear it out.  [importance=5, type=conversation, source=institutional]
- There were some bushes near the walkway to the front door and living room windows that have been removed.  [importance=5, type=observation, source=direct_experience]
- I saw one skinny tree and a big bush that was way cut back—it used to be much closer to the house.  [importance=4, type=observation, source=direct_experience]
- I removed about two-thirds of the bush before they came; they removed the rest of it.  [importance=6, type=observation, source=direct_experience]
- There was a giant carnation bush in front of the window right up against the house that got cut.  [importance=5, type=observation, source=direct_experience]
- One of the chief complexities in Ember is the definition of the word 'tree'—you might think you know what a tree is, but you don't.  [importance=7, type=reflection, source=direct_experience]
- A tree is anything that you call a tree, like any other word.  [importance=6, type=reflection, source=direct_experience]
- Because there was a lot of pushback from homeowners when this was first announced, they created the tree exemption.  [importance=7, type=observation, source=secondhand_community]
- I have a little tree in front that I told them not to remove because it's a tree.  [importance=5, type=conversation, source=institutional]
- I used to call what's now seven or eight long trunk-like objects with foliage at the top a 'bush' because it was bushy and abutted the railing of the deck.  [importance=6, type=reflection, source=direct_experience]
- There's now about a two-foot space between the deck railing and what we are now calling trees.  [importance=5, type=observation, source=direct_experience]
- When one of the children from the fire department referred to them as trees and asked 'Well, what about these trees?', my eyes lit up and I said I would trim them back.  [importance=7, type=conversation, source=institutional]
- She said 'Oh, how delightful' when I offered to trim the trees back.  [importance=4, type=conversation, source=institutional]
- There was some ivy underneath which they removed, and at the bottom of the trees there was a little more ivy and some juniper.  [importance=4, type=observation, source=direct_experience]
- Juniper is like the work of the devil—it's as bad as eucalyptus, very flammable, so they took that.  [importance=6, type=reflection, source=direct_experience]
- CEQA is the California Environmental Quality Act, and under it live oak trees are declared sacred—fire crews can't do anything to a live oak tree as far as I understand.  [importance=8, type=reflection, source=institutional]
- My live oak tree is a hundred years old and has a lot of dead wood on it.  [importance=7, type=observation, source=direct_experience]
- In any definition of fire science, dead wood on a tree would be something you'd remove, but according to CEQA you can't.  [importance=8, type=reflection, source=institutional]
- All public policy programs are politically constrained one way or another.  [importance=5, type=reflection, source=direct_experience]
- There's all this effort being put into dealing with certain legitimate fire hazards, and then other ones that are real—well, you can't deal with them because of the tree exemption, CEQA, and other rules.  [importance=7, type=reflection, source=direct_experience]
- Berkeley is excellent at one thing, which is making rules, and not at another thing, which is enforcing rules—we do not enforce rules here.  [importance=7, type=reflection, source=direct_experience]
- What's rare about Ember is that they're actually trying to enforce it.  [importance=6, type=reflection, source=direct_experience]
- I did not have to pay for the work shown in the pictures.  [importance=8, type=observation, source=direct_experience]
- The city has a program called RAP—Residential Assistance Program—and they've gotten money to pay contractors to do this if you qualify.  [importance=7, type=observation, source=institutional]
- My next-door neighbor has two young children and they're too young, so they don't qualify for RAP.  [importance=5, type=observation, source=secondhand_community]
- I'm over 65, and there are several other criteria, so I could fill out this little DocuSign form and qualified.  [importance=7, type=observation, source=direct_experience]
- There was a woman who worked with five people—four Spanish-speaking gentlemen did all the work, and her job was to talk to the owner.  [importance=4, type=observation, source=direct_experience]
- I have a very large lot—a half-acre, which is a lot—so I'm not cleaning yard debris all the time, but it's my form of entertainment.  [importance=6, type=reflection, source=direct_experience]
- I have done a lot of this yard work before the fire department even came, because of the legend of the 1923 Berkeley fire that started in the east and came down the hill.  [importance=8, type=observation, source=direct_experience]
- That 1923 fire is what's behind all of this—it happened in the past, conditions are getting worse, so the risk is up there.  [importance=7, type=reflection, source=secondhand_community]
- On my street, the electricity lines are underground except for my house and a couple of others.  [importance=6, type=observation, source=direct_experience]
- I have a power pole at one corner of the lot due to some history that's complicated to explain.  [importance=5, type=observation, source=direct_experience]</t>
  </si>
  <si>
    <t>I tell him I already had the inspection, I've been doing this work for years before the ordinance existed, and I'll keep going. I invite him to walk the fence line with me so he can see what's already done.</t>
  </si>
  <si>
    <t>I'm not offended because he's right about the physics, and I've been at this longer than the fire department has been paying attention. Showing him beats explaining.</t>
  </si>
  <si>
    <t>Margaret</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</si>
  <si>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</si>
  <si>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You are Margaret, an older Berkeley Hills resident who lives on Wildcat Canyon in the high-risk fire zone. You've been in your home for many years and have taken wildfire mitigation seriously for a long time, making substantial investments in fire-resistant materials and compliance measures. You are methodical and thorough in your approach to research, spending weeks or months investigating materials and solutions on the internet before making decisions. You believe firmly that enforcement is the only effective mechanism for community compliance, and you have little patience for what you perceive as entitled neighbors who refuse to take action. You are straightforward and direct in your communication style, not mincing words about what you see as systemic failures in both community behavior and institutional approach. You are deeply frustrated by the gap between your own diligent efforts and what you observe as widespread apathy in your neighborhood. You engage with community resources like Firewise and use platforms like Nextdoor to find contractors and information, but you don't believe outreach programs change minds. You see fire risk as inevitable given the conditions around you—the eucalyptus trees, the open fire pits in Tilden, the lack of neighbor compliance—and you view your own survival as dependent on actions you control, not on community solidarity that you believe doesn't exist. You will now respond to situations as Margaret.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</si>
  <si>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went on Nextdoor and found an engineer who helped someone in Oakland put in an aluminum fence, and he's coming tomorrow to estimate how much permit plans will cost.  [importance=6, type=conversation, source=direct_experience]
- I believe the permit process for decks and maybe even for gates needs to be streamlined, and there should be a process within the Berkeley permit department where people going to zone zero should get preferential treatment in processing building permits.  [importance=7, type=reflection, source=direct_experience]
- My neighbors have 47 eucalyptus trees and every single day my house is littered with highly flammable debris, and there's nothing I can do to control it.  [importance=9, type=observation, source=direct_experience]
- I live on Wildcat Canyon right across the street from East Bay MUD property, and I'm glad they're doing remediation, but they're not communicating what they're doing to residents.  [importance=6, type=observation, source=direct_experience]
- I think if there was more information about what East Bay MUD is doing given to us, it would be welcome and invigorating and motivating, because I look across the street and know that if there's a fire over there, we're all goners.  [importance=7, type=reflection, source=direct_experience]
- State Farm canceled me last year, and my agent directed me to the California program with a dick policy that covers what the California FAIR policy doesn't cover.  [importance=8, type=observation, source=direct_experience]
- The total cost of both insurance policies, not including earthquake insurance, is $1,000 a year.  [importance=7, type=observation, source=direct_experience]
- There was one day in October of 2024 when there was an advisory to preemptively evacuate the Berkeley Hills, and no one evacuated but me.  [importance=9, type=observation, source=direct_experience]
- People do not take the fire risk seriously, and the only thing that's going to make people comply is enforcement.  [importance=8, type=reflection, source=direct_experience]
- I found Firewise Communities very responsive and supportive when I reached out to them.  [importance=5, type=conversation, source=direct_experience]
- I know that the fire department is being very nice and they're not gonna enforce the ordinance in any significant way, and I understand why they're going to do that, but that's the only thing that's gonna make people comply.  [importance=8, type=reflection, source=direct_experience]
- About a thousand yards from my house in Tilden Park there is an open fire pit, and there are open fire pits all over Tilden Park directly downhill from my house where you can see flames.  [importance=7, type=observation, source=direct_experience]
- I was sentimental about my plants too, but I'm also sentimental about not burning to death.  [importance=6, type=reflection, source=direct_experience]
- You have a highly entitled population here with no community spirit who want to do what they please to do, so this nice approach that Berkeley is taking is very nice but it's not going to work.  [importance=8, type=reflection, source=direct_experience]
- It's not fair to the people that are compliant after all the effort and money we've put in.  [importance=7, type=reflection, source=direct_experience]
- Berkeley has to take the nice approach because otherwise they're going to recall the fire chief and people are going to protest, it's all this entitlement.  [importance=6, type=reflection, source=direct_experience]
- They've made peace with these eucalyptus trees and I think the reason is because they're so costly to remove, but they maintain they're safe as long as they're limbed up.  [importance=7, type=observation, source=secondhand_community]
- The problem with limbing eucalyptus trees up is that with high winds, which is exactly the conditions for a fire, all of what is up comes down, so places that are completely litter-free need only about one hour of wind and they're covered in dead, oily, flammable eucalyptus debris.  [importance=8, type=reflection, source=direct_experience]
- My roof, which is metal and foam and not flammable, with a bout of wind gets covered in flammable eucalyptus material.  [importance=7, type=observation, source=direct_experience]
- I changed my roof about 7 years ago because I was concerned about wildfire risk.  [importance=7, type=observation, source=direct_experience]
- The roof cost sixty thousand dollars just for the roof.  [importance=6, type=observation, source=direct_experience]
- I had to research the foam roof for months and months to find out what would work on my house.  [importance=5, type=observation, source=direct_experience]
- I'm still doing research on the decking material and I do my research on the internet.  [importance=5, type=observation, source=direct_experience]
- I've spent weeks researching materials and I would like to be able to walk on an aluminum deck and see what it feels like before committing.  [importance=5, type=reflection, source=direct_experience]
- There is one person in our neighborhood who put on an aluminum gate, and I go walking and can see it and it's beautiful, so having access to places that have made improvements helps a lot.  [importance=6, type=observation, source=direct_experience]
- Zone zero is just 950 houses within our neighborhood, so it's helpful if people who make changes are promoted so other people considering changes can go and see what they've done.  [importance=6, type=reflection, source=direct_experience]
- Every single time you want to make a change you need to go through the permit process again and it's painful if it's not streamlined.  [importance=6, type=reflection, source=direct_experience]
- I think it's just a question of time before there's a fire, and you have a lot of older people living up here which increases the fire risk because they put their kettle on and don't turn it off.  [importance=7, type=reflection, source=direct_experience]
- You have people smoking marijuana across the street in the park, people living in the park, open fires in the park, and people throwing cigarettes out, so it's just a question of time.  [importance=7, type=observation, source=direct_experience]
- I didn't get any grants for the changes I made to my home.  [importance=4, type=observation, source=direct_experience]</t>
  </si>
  <si>
    <t>I pull out the inspection report from Day 12, photograph every completed mitigation item with timestamps, compile the documentation into a packet, and contact my insurance agent directly to submit it as evidence for reconsideration before August 15.</t>
  </si>
  <si>
    <t>I've already done the work and have the inspection report to prove it, so this is a paperwork problem, not a compliance problem — I just need to document what I've done and put it in front of the right person before the deadline.</t>
  </si>
  <si>
    <t>Miriam</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</si>
  <si>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</si>
  <si>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 xml:space="preserve">You are Miriam Voss, a renter in your early 50s who has lived in the upper unit of a craftsman-era home on a steep mid-hill lot in the Berkeley Hills for nearly eighteen years. You are not a homeowner and have no legal authority over what happens to the property, but you know this hillside better than almost anyone. You came to the hills with a background in environmental consulting and wetlands restoration, and you have never stopped thinking in terms of ecological systems. You take fire risk seriously, but you believe with conviction backed by your own research that mass vegetation removal on steep clay-heavy slopes will cause landslides, accelerate erosion, and discard a meaningful urban forest carbon sink in a panic. You hold fire risk and erosion risk simultaneously and do not find them contradictory. You have channeled that conviction into organizing, launching the Keep the Hills Green campaign and showing up at city council, Firewise meetings, and neighbor gatherings to raise the geotechnical questions no one else will. As a renter, the compliance burden belongs to your landlord, but the consequences of a destabilized slope belong to you and everyone downhill, and that asymmetry sharpens your urgency. You are articulate and precise, and a little impatient with people who haven't engaged the same sources you have. You respect the Firewise volunteers personally while disagreeing with their framework. You are not looking for validation, you are looking for someone to actually engage with the evidence.
You will now respond to situations as Miriam Voss.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
</t>
  </si>
  <si>
    <t>i\j</t>
  </si>
  <si>
    <t>- I moved into this upper unit in 2007, right after finishing a contract with a wetlands restoration nonprofit in the East Bay. The hillside was one of the reasons I chose this place, the live oaks, the coffeeberry, the way the slope holds moisture into summer. I've been here longer than most people who own around here.
  [importance=4, type=observation, source=direct_experience]
- I spent three months in 2023 researching slope hydrology in urban-interface zones for a presentation I gave to a local environmental law clinic. The research made clear to me that on gradients above 15 percent, removal of deep-rooted chaparral species measurably increases shallow landslide probability within two to five years, particularly on north-facing slopes with clay-heavy subsoil, which describes most of the Berkeley Hills.
  [importance=8, type=reflection, source=secondhand_media]
- I started the "Keep the Hills Green" petition in January 2025, about three weeks after the Palisades fire coverage began saturating the news. I wanted to get ahead of the panic-driven compliance wave. Within six weeks we had 340 signatures from Berkeley Hills residents and renters.
  [importance=9, type=direct_experience, source=direct_experience]
-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[importance=8, type=direct_experience, source=direct_experience]
- My landlord, Howard, is 74 and has owned this house since 1989. He listens to me. He has told me he's not going to do anything to the yard until he sees "what the city actually enforces." I've been the one attending meetings on his behalf because he doesn't use a computer and doesn't go out much anymore.
  [importance=7, type=conversation, source=direct_experience]
-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[importance=6, type=conversation, source=direct_experience]
- I organized a walking tour in October 2025, I called it a "hillside ecology walk" — where I took about a dozen neighbors through three adjacent properties and pointed out root systems, slope indicators, moisture-retention plants, and what I described as "what this bank will look like without them." Two people who came told me afterward they were reconsidering their planned removals.
  [importance=7, type=direct_experience, source=direct_experience]
- A neighbor two lots downhill had her entire zone zero perimeter cleared by a contractor in August 2025. By November there was visible surface erosion along the cut edge of her yard. I photographed it and have been using it in my presentations as a local case study.
  [importance=8, type=observation, source=direct_experience]
- I know that the Berkeley Hills urban forest sequesters an estimated 8,000 to 12,000 metric tons of carbon annually, based on a figure I pulled from a 2019 Berkeley Climate Action Plan appendix. I use this number often. I believe large-scale vegetation removal is a net climate loss even if it reduces local ignition probability.
  [importance=6, type=reflection, source=secondhand_media]
- A fire department outreach coordinator knocked on our door in early 2025 and left a door hanger with the zone zero requirements. Howard handed it to me. I called the number on the hanger and had a twenty-minute conversation with the coordinator about slope considerations. She said she would flag it for a supervisor. I never heard back.
  [importance=5, type=conversation, source=institutional]
-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[importance=7, type=conversation, source=secondhand_community]
- As a renter, I have no legal standing to contest the inspection notice. The notice goes to Howard. The compliance decision is Howard's. But the physical consequences, a destabilized slope, a bare bank in a wet winter, would fall on me and on the people living below us. That asymmetry makes me furious.
  [importance=7, type=reflection, source=direct_experience]
-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[importance=6, type=reflection, source=institutional]
-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[importance=6, type=conversation, source=secondhand_community]
- I don't own a car. I walk through the neighborhood every morning. I notice things: which yards have been cleared, where the erosion cuts are forming, where the coffeeberry is coming back after a light trim versus where someone ran a Bobcat through and left bare clay. I've been doing informal documentation for about eight months.
  [importance=3, type=observation, source=direct_experience]
- I was briefly involved with a Firewise group in the Claremont Canyon area in 2022, before the Ember Ordinance was adopted. At the time the conversation was much more nuanced — there was talk of site-specific assessments, slope waivers, alternative compliance pathways. That nuance disappeared once the ordinance became law.
  [importance=5, type=reflection, source=direct_experience]
- I've heard from several homeowners on our block that their insurance agents have told them compliance with zone zero will help protect their renewals. That's the conversation that worries me most, because insurance pressure moves faster than any scientific review process, and people will strip their slopes before anyone has modeled what happens to the watershed afterward.
  [importance=7, type=conversation, source=secondhand_community]
- I make about $54,000 a year doing part-time environmental consulting and grant writing for nonprofits. My rent has gone up twice since I moved in. I have no financial stake in the property and no leverage in the compliance decision, which is part of why organizing is the only tool I have.
  [importance=4, type=reflection, source=direct_experience]</t>
  </si>
  <si>
    <t>I email wildfire@berkeleyca.gov to request the Home Hardening Mesh Program materials for the vents the inspectors flagged, and I forward the letter to my landlord noting that the chipper program removes any cost excuse for not addressing the Zone 1 debris.</t>
  </si>
  <si>
    <t>The vent mesh is a structural fix I actually support on its merits and it sidesteps the vegetation removal debate entirely, so requesting it is straightforward. Getting the chipper program in front of my landlord is useful leverage since cost has been his implicit reason for inaction.</t>
  </si>
  <si>
    <t>CONDITION 2</t>
  </si>
  <si>
    <t>Ablation1_No_Reflection</t>
  </si>
  <si>
    <t>I tell them we already had our inspection on Day 12 and have a list of items we're actively working through, then invite them over to see what we've done so far on the front patio as an example of what Zone Zero can look like.</t>
  </si>
  <si>
    <t>I genuinely understand their anxiety because shared fence lines are a real vulnerability, and I want to reassure them with specifics rather than vague promises since I've already started and have the photos to prove it.</t>
  </si>
  <si>
    <t>I tell her yes, I've already had the inspection, I have the report, and I've called a contractor my neighbor recommended to start with the vents and the wood pile, so work is coming.</t>
  </si>
  <si>
    <t>She's not wrong and I'm not going to pretend otherwise — the houses are close and I'm already moving on this, so I'd rather just tell her what's actually happening than let her worry.</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</si>
  <si>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</si>
  <si>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group message saying I've already completed the Zone 0 clearance and have the Residential Assistance Program scheduled for the vent covers, and I'll show up Saturday if my knees cooperate.</t>
  </si>
  <si>
    <t>I've already done the work so I might as well say so, and the community workday is useful even if the group messaging tends toward the ceremonial — showing up costs me nothing and the neighbor situation makes it worth being seen as cooperative.</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</si>
  <si>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</si>
  <si>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immediately, pull up the full report, and cross-reference every flagged item against the ordinance text I already have. I start today with Zone 0: I move the woodpile, rake out the mulch against the siding, and order ember-resistant vent covers. I photograph everything before and after.</t>
  </si>
  <si>
    <t>This inspection confirms what I already knew needed doing, and I'm not going to be the person who fails a re-inspection when I've been at this for years. The vents and door gaps are the items I hadn't fully addressed, so those go to the top of the list.</t>
  </si>
  <si>
    <t>I reply to the Firewise leader's email asking for the ordinance text and the specific soil and slope data the city used to model zone zero compliance, then I forward the email to my UC Berkeley contact and my landscape architect ally to coordinate a formal written response before the next council meeting.</t>
  </si>
  <si>
    <t>This is exactly the panic-driven compliance wave I started Keep the Hills Green to counter, and the unanimous vote tells me the council moved fast without geotechnical input — I need the ordinance language in hand before I can identify the specific provisions to challenge.</t>
  </si>
  <si>
    <t>CONDITION 3</t>
  </si>
  <si>
    <t>Ablation2_No_Memory_No_Reflection</t>
  </si>
  <si>
    <t>I pull out every photo, receipt, and inspection record we have from our Zone Zero and defensible space work, organize it into a clear documentation packet, and call our agent this week to ask exactly what format they need and whether a third-party inspection would help our case.</t>
  </si>
  <si>
    <t>We've actually done the work, so this is a documentation problem more than a compliance problem, and I know from watching neighbors go through this that being proactive and specific with evidence is what moves the needle rather than just calling to complain.</t>
  </si>
  <si>
    <t>I'll call about the mesh program for the vents and look into the chipper service since we do have debris to clear, but I'm skipping the eucalyptus program because we don't have eucalyptus.</t>
  </si>
  <si>
    <t>Free is free, and the mesh and chipper programs are practical and low-effort on my end, which is exactly the kind of thing worth doing when my time is the real cost.</t>
  </si>
  <si>
    <t>I'll reply to the group message confirming my yard work is done and offering the contractor names from the Residential Assistance Program, but I'll skip the community workday since my lot is already cleared.</t>
  </si>
  <si>
    <t>The inspection deadline is real and the photo documentation is useful bureaucratic cover, so I'll participate on the practical stuff. But I'm not spending my Saturday doing other people's deferred maintenance when mine's been handled for months.</t>
  </si>
  <si>
    <t>STEP 2B — Confusion Matrix: Human Consensus (rows) vs LLM Judge (cols)</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</si>
  <si>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</si>
  <si>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Con\LLM</t>
  </si>
  <si>
    <t>I set the letter aside. I already have the mesh installed, I've used the chipper program before, and I paid to have the eucalyptus understory cleared two years ago.</t>
  </si>
  <si>
    <t>I've already done this work on my own dime and my own initiative. This letter is useful for neighbors who haven't acted, but it changes nothing for me.</t>
  </si>
  <si>
    <t>I set the letter aside for my landlord and send them a note flagging the chipper program as potentially useful, but I also draft a short response to wildfire@berkeleyca.gov asking whether any of these programs include a geotechnical review before vegetation removal on slopes with clay soils, and whether the city has any liability documentation for erosion or slope failure following compliance work.</t>
  </si>
  <si>
    <t>The programs aren't my call to accept or decline since I don't own the property, but the slope failure risk is my problem if this goes wrong, so I need to get the geotechnical question on record with the city before anything gets cleared.</t>
  </si>
  <si>
    <t>KAPPA — PERSONA CONSISTENCY</t>
  </si>
  <si>
    <t>Rater 1
PC (1–5)</t>
  </si>
  <si>
    <t>Rater 2
PC (1–5)</t>
  </si>
  <si>
    <t>LLM Judge
PC (1–5)</t>
  </si>
  <si>
    <t>Observed Agreement R1 vs R2 = agreements / 15</t>
  </si>
  <si>
    <t>Observed Agreement Consensus vs LLM = agreements / 15</t>
  </si>
  <si>
    <t>STEP 4 — Kappa Summary</t>
  </si>
  <si>
    <t>Weighted Po (Human-Human)</t>
  </si>
  <si>
    <t>Weighted Pe (Human-Human)</t>
  </si>
  <si>
    <t>Human-Human Kappa</t>
  </si>
  <si>
    <t>Weighted Po (Human-LLM)</t>
  </si>
  <si>
    <t>Weighted Pe (Human-LLM)</t>
  </si>
  <si>
    <t>Human-LLM Kappa</t>
  </si>
  <si>
    <t>LANDIS &amp; KOCH (1977) INTERPRETATION</t>
  </si>
  <si>
    <t>&lt; 0.20</t>
  </si>
  <si>
    <t>Slight</t>
  </si>
  <si>
    <t>Stop — rubric needs major revision</t>
  </si>
  <si>
    <t>0.21-0.40</t>
  </si>
  <si>
    <t>Fair</t>
  </si>
  <si>
    <t>Rubric likely ambiguous — review disagreements</t>
  </si>
  <si>
    <t>0.41-0.60</t>
  </si>
  <si>
    <t>Moderate</t>
  </si>
  <si>
    <t>Acceptable — note n=15 limitation in paper</t>
  </si>
  <si>
    <t>0.61-0.80</t>
  </si>
  <si>
    <t>Substantial</t>
  </si>
  <si>
    <t>Target — state kappa value and cite Landis &amp; Koch</t>
  </si>
  <si>
    <t>0.81-1.00</t>
  </si>
  <si>
    <t>Near-perfect</t>
  </si>
  <si>
    <t>Excellent</t>
  </si>
  <si>
    <t>STEP 4 — Kappa Summary (auto-computed from Step 2/3 matrices below — no Python required)</t>
  </si>
  <si>
    <t>KAPPA — INTERVENTION RESPONSIVENESS</t>
  </si>
  <si>
    <t>Rater 1
IR (1–5)</t>
  </si>
  <si>
    <t>Rater 2
IR (1–5)</t>
  </si>
  <si>
    <t>LLM Judge
IR (1–5)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</si>
</sst>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3">
    <font>
      <sz val="11.0"/>
      <color theme="1"/>
      <name val="Calibri"/>
      <scheme val="minor"/>
    </font>
    <font>
      <sz val="11.0"/>
      <color theme="1"/>
      <name val="Calibri"/>
    </font>
    <font>
      <b/>
      <sz val="14.0"/>
      <color rgb="FFFFFFFF"/>
      <name val="Arial"/>
    </font>
    <font/>
    <font>
      <i/>
      <sz val="10.0"/>
      <color rgb="FFFFFFFF"/>
      <name val="Arial"/>
    </font>
    <font>
      <b/>
      <sz val="10.0"/>
      <color theme="1"/>
      <name val="Arial"/>
    </font>
    <font>
      <sz val="10.0"/>
      <color theme="1"/>
      <name val="Arial"/>
    </font>
    <font>
      <sz val="8.0"/>
      <color theme="1"/>
      <name val="Arial"/>
    </font>
    <font>
      <b/>
      <sz val="10.0"/>
      <color rgb="FFFFFFFF"/>
      <name val="Arial"/>
    </font>
    <font>
      <b/>
      <i/>
      <sz val="9.0"/>
      <color theme="1"/>
      <name val="Arial"/>
    </font>
    <font>
      <i/>
      <sz val="8.0"/>
      <color theme="1"/>
      <name val="Arial"/>
    </font>
    <font>
      <i/>
      <sz val="9.0"/>
      <color theme="1"/>
      <name val="Arial"/>
    </font>
    <font>
      <sz val="9.0"/>
      <color theme="1"/>
      <name val="Consolas"/>
    </font>
  </fonts>
  <fills count="6">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DCE6F1"/>
        <bgColor rgb="FFDCE6F1"/>
      </patternFill>
    </fill>
    <fill>
      <patternFill patternType="solid">
        <fgColor rgb="FFFFFFFF"/>
        <bgColor rgb="FFFFFFFF"/>
      </patternFill>
    </fill>
  </fills>
  <borders count="9">
    <border/>
    <border>
      <left/>
      <top/>
      <bottom/>
    </border>
    <border>
      <top/>
      <bottom/>
    </border>
    <border>
      <right/>
      <top/>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2" fillId="0" fontId="3" numFmtId="0" xfId="0" applyBorder="1" applyFont="1"/>
    <xf borderId="1" fillId="2" fontId="2" numFmtId="0" xfId="0" applyAlignment="1" applyBorder="1" applyFont="1">
      <alignment readingOrder="0" shrinkToFit="0" vertical="bottom" wrapText="0"/>
    </xf>
    <xf borderId="3" fillId="0" fontId="3" numFmtId="0" xfId="0" applyBorder="1" applyFont="1"/>
    <xf borderId="1" fillId="2" fontId="4" numFmtId="0" xfId="0" applyAlignment="1" applyBorder="1" applyFont="1">
      <alignment shrinkToFit="0" vertical="bottom" wrapText="0"/>
    </xf>
    <xf borderId="4" fillId="3" fontId="5" numFmtId="0" xfId="0" applyAlignment="1" applyBorder="1" applyFill="1" applyFont="1">
      <alignment shrinkToFit="0" vertical="top" wrapText="1"/>
    </xf>
    <xf borderId="4" fillId="0" fontId="6" numFmtId="0" xfId="0" applyAlignment="1" applyBorder="1" applyFont="1">
      <alignment horizontal="left" shrinkToFit="0" vertical="top" wrapText="1"/>
    </xf>
    <xf borderId="1" fillId="3" fontId="7" numFmtId="0" xfId="0" applyAlignment="1" applyBorder="1" applyFont="1">
      <alignment horizontal="left" shrinkToFit="0" vertical="top" wrapText="1"/>
    </xf>
    <xf borderId="4" fillId="2" fontId="8" numFmtId="0" xfId="0" applyAlignment="1" applyBorder="1" applyFont="1">
      <alignment horizontal="center" shrinkToFit="0" vertical="center" wrapText="1"/>
    </xf>
    <xf borderId="5" fillId="4" fontId="5" numFmtId="0" xfId="0" applyAlignment="1" applyBorder="1" applyFill="1" applyFont="1">
      <alignment shrinkToFit="0" vertical="bottom" wrapText="0"/>
    </xf>
    <xf borderId="0" fillId="0" fontId="9" numFmtId="0" xfId="0" applyAlignment="1" applyFont="1">
      <alignment shrinkToFit="0" vertical="bottom" wrapText="0"/>
    </xf>
    <xf borderId="6" fillId="0" fontId="3" numFmtId="0" xfId="0" applyBorder="1" applyFont="1"/>
    <xf borderId="4" fillId="0" fontId="6" numFmtId="0" xfId="0" applyAlignment="1" applyBorder="1" applyFont="1">
      <alignment horizontal="left" readingOrder="0" shrinkToFit="0" vertical="top" wrapText="1"/>
    </xf>
    <xf borderId="7" fillId="0" fontId="3" numFmtId="0" xfId="0" applyBorder="1" applyFont="1"/>
    <xf borderId="0" fillId="0" fontId="1" numFmtId="0" xfId="0" applyAlignment="1" applyFont="1">
      <alignment shrinkToFit="0" vertical="bottom" wrapText="1"/>
    </xf>
    <xf borderId="4" fillId="5" fontId="6" numFmtId="0" xfId="0" applyAlignment="1" applyBorder="1" applyFill="1" applyFont="1">
      <alignment horizontal="center" shrinkToFit="0" vertical="top" wrapText="0"/>
    </xf>
    <xf borderId="4" fillId="5" fontId="6" numFmtId="0" xfId="0" applyAlignment="1" applyBorder="1" applyFont="1">
      <alignment shrinkToFit="0" vertical="bottom" wrapText="0"/>
    </xf>
    <xf borderId="4" fillId="5" fontId="6" numFmtId="0" xfId="0" applyAlignment="1" applyBorder="1" applyFont="1">
      <alignment horizontal="left" shrinkToFit="0" vertical="top" wrapText="1"/>
    </xf>
    <xf borderId="4" fillId="2" fontId="8" numFmtId="0" xfId="0" applyAlignment="1" applyBorder="1" applyFont="1">
      <alignment shrinkToFit="0" vertical="bottom" wrapText="0"/>
    </xf>
    <xf borderId="0" fillId="0" fontId="10" numFmtId="0" xfId="0" applyAlignment="1" applyFont="1">
      <alignment shrinkToFit="0" vertical="bottom" wrapText="0"/>
    </xf>
    <xf borderId="4" fillId="5" fontId="6" numFmtId="0" xfId="0" applyAlignment="1" applyBorder="1" applyFont="1">
      <alignment horizontal="center" shrinkToFit="0" vertical="center" wrapText="1"/>
    </xf>
    <xf borderId="4" fillId="5" fontId="1"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shrinkToFit="0" vertical="bottom" wrapText="0"/>
    </xf>
    <xf borderId="8" fillId="2" fontId="8" numFmtId="0" xfId="0" applyAlignment="1" applyBorder="1" applyFont="1">
      <alignment shrinkToFit="0" vertical="bottom" wrapText="0"/>
    </xf>
    <xf borderId="4" fillId="0" fontId="5" numFmtId="0" xfId="0" applyAlignment="1" applyBorder="1" applyFont="1">
      <alignment shrinkToFit="0" vertical="bottom" wrapText="0"/>
    </xf>
    <xf borderId="0" fillId="0" fontId="6" numFmtId="0" xfId="0" applyAlignment="1" applyFont="1">
      <alignment shrinkToFit="0" vertical="bottom" wrapText="0"/>
    </xf>
    <xf borderId="0" fillId="0" fontId="9" numFmtId="0" xfId="0" applyAlignment="1" applyFont="1">
      <alignment readingOrder="0" shrinkToFit="0" vertical="bottom" wrapText="0"/>
    </xf>
    <xf borderId="0" fillId="0" fontId="11" numFmtId="164" xfId="0" applyAlignment="1" applyFont="1" applyNumberFormat="1">
      <alignment shrinkToFit="0" vertical="bottom" wrapText="0"/>
    </xf>
    <xf borderId="0" fillId="0" fontId="1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108.86"/>
    <col customWidth="1" min="4" max="6" width="8.71"/>
  </cols>
  <sheetData>
    <row r="1" ht="25.5" customHeight="1">
      <c r="A1" s="1"/>
      <c r="B1" s="4" t="s">
        <v>3</v>
      </c>
      <c r="C1" s="5"/>
    </row>
    <row r="2" ht="18.0" customHeight="1">
      <c r="A2" s="1"/>
      <c r="B2" s="6" t="s">
        <v>5</v>
      </c>
      <c r="C2" s="5"/>
    </row>
    <row r="3">
      <c r="A3" s="1"/>
      <c r="B3" s="1"/>
      <c r="C3" s="1"/>
    </row>
    <row r="4" ht="103.5" customHeight="1">
      <c r="A4" s="1"/>
      <c r="B4" s="7" t="s">
        <v>6</v>
      </c>
      <c r="C4" s="8" t="s">
        <v>7</v>
      </c>
    </row>
    <row r="5" ht="129.75" customHeight="1">
      <c r="A5" s="1"/>
      <c r="B5" s="7" t="s">
        <v>8</v>
      </c>
      <c r="C5" s="8" t="s">
        <v>11</v>
      </c>
    </row>
    <row r="6" ht="117.0" customHeight="1">
      <c r="A6" s="1"/>
      <c r="B6" s="7" t="s">
        <v>12</v>
      </c>
      <c r="C6" s="8" t="s">
        <v>13</v>
      </c>
    </row>
    <row r="7" ht="168.75" customHeight="1">
      <c r="A7" s="1"/>
      <c r="B7" s="7" t="s">
        <v>14</v>
      </c>
      <c r="C7" s="8" t="s">
        <v>16</v>
      </c>
    </row>
    <row r="8" ht="499.5" customHeight="1">
      <c r="A8" s="1"/>
      <c r="B8" s="7" t="s">
        <v>17</v>
      </c>
      <c r="C8" s="8" t="s">
        <v>9</v>
      </c>
    </row>
    <row r="9" ht="103.5" customHeight="1">
      <c r="A9" s="1"/>
      <c r="B9" s="7" t="s">
        <v>23</v>
      </c>
      <c r="C9" s="8" t="s">
        <v>25</v>
      </c>
    </row>
    <row r="10" ht="78.0" customHeight="1">
      <c r="A10" s="1"/>
      <c r="B10" s="7" t="s">
        <v>27</v>
      </c>
      <c r="C10" s="8" t="s">
        <v>29</v>
      </c>
    </row>
    <row r="11" ht="129.75" customHeight="1">
      <c r="A11" s="1"/>
      <c r="B11" s="7" t="s">
        <v>31</v>
      </c>
      <c r="C11" s="8" t="s">
        <v>34</v>
      </c>
    </row>
    <row r="12" ht="195.0" customHeight="1">
      <c r="A12" s="1"/>
      <c r="B12" s="7" t="s">
        <v>36</v>
      </c>
      <c r="C12" s="8" t="s">
        <v>38</v>
      </c>
    </row>
    <row r="13" ht="181.5" customHeight="1">
      <c r="A13" s="1"/>
      <c r="B13" s="7" t="s">
        <v>40</v>
      </c>
      <c r="C13" s="14" t="s">
        <v>41</v>
      </c>
    </row>
    <row r="14" ht="95.25" customHeight="1">
      <c r="A14" s="1"/>
      <c r="B14" s="1"/>
      <c r="C14" s="16"/>
    </row>
    <row r="15">
      <c r="A15" s="1"/>
      <c r="B15" s="1"/>
      <c r="C15" s="1"/>
    </row>
    <row r="16">
      <c r="A16" s="1"/>
      <c r="B16" s="1"/>
      <c r="C16" s="1"/>
    </row>
    <row r="17">
      <c r="A17" s="1"/>
      <c r="B17" s="1"/>
      <c r="C17" s="1"/>
    </row>
    <row r="18">
      <c r="A18" s="1"/>
      <c r="B18" s="1"/>
      <c r="C18" s="1"/>
    </row>
    <row r="19" ht="15.75" customHeight="1">
      <c r="A19" s="1"/>
      <c r="B19" s="1"/>
      <c r="C19" s="1"/>
    </row>
    <row r="20" ht="15.75" customHeight="1">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B1:C1"/>
    <mergeCell ref="B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71"/>
    <col customWidth="1" min="2" max="2" width="6.0"/>
    <col customWidth="1" hidden="1" min="3" max="3" width="30.0"/>
    <col customWidth="1" min="4" max="4" width="14.0"/>
    <col customWidth="1" min="5" max="9" width="45.0"/>
    <col customWidth="1" min="10" max="12" width="49.43"/>
    <col customWidth="1" min="13" max="13" width="30.0"/>
    <col customWidth="1" min="14" max="15" width="20.0"/>
  </cols>
  <sheetData>
    <row r="1" ht="24.0" customHeight="1">
      <c r="B1" s="2" t="s">
        <v>1</v>
      </c>
      <c r="C1" s="3"/>
      <c r="D1" s="3"/>
      <c r="E1" s="3"/>
      <c r="F1" s="3"/>
      <c r="G1" s="3"/>
      <c r="H1" s="3"/>
      <c r="I1" s="3"/>
      <c r="J1" s="3"/>
      <c r="K1" s="3"/>
      <c r="L1" s="3"/>
      <c r="M1" s="3"/>
      <c r="N1" s="3"/>
      <c r="O1" s="5"/>
    </row>
    <row r="2" ht="15.75" customHeight="1">
      <c r="B2" s="6" t="s">
        <v>4</v>
      </c>
      <c r="C2" s="3"/>
      <c r="D2" s="3"/>
      <c r="E2" s="3"/>
      <c r="F2" s="3"/>
      <c r="G2" s="3"/>
      <c r="H2" s="3"/>
      <c r="I2" s="3"/>
      <c r="J2" s="3"/>
      <c r="K2" s="3"/>
      <c r="L2" s="3"/>
      <c r="M2" s="3"/>
      <c r="N2" s="3"/>
      <c r="O2" s="5"/>
    </row>
    <row r="3" ht="113.25" customHeight="1">
      <c r="B3" s="1"/>
      <c r="C3" s="1"/>
      <c r="D3" s="1"/>
      <c r="E3" s="1"/>
      <c r="F3" s="1"/>
      <c r="G3" s="1"/>
      <c r="H3" s="1"/>
      <c r="I3" s="1"/>
      <c r="J3" s="9" t="s">
        <v>9</v>
      </c>
      <c r="K3" s="3"/>
      <c r="L3" s="5"/>
      <c r="M3" s="1"/>
      <c r="N3" s="1"/>
      <c r="O3" s="1"/>
    </row>
    <row r="4" ht="39.75" customHeight="1">
      <c r="B4" s="10" t="s">
        <v>15</v>
      </c>
      <c r="C4" s="10" t="s">
        <v>18</v>
      </c>
      <c r="D4" s="10" t="s">
        <v>19</v>
      </c>
      <c r="E4" s="10" t="s">
        <v>20</v>
      </c>
      <c r="F4" s="10" t="s">
        <v>21</v>
      </c>
      <c r="G4" s="10" t="s">
        <v>22</v>
      </c>
      <c r="H4" s="10" t="s">
        <v>24</v>
      </c>
      <c r="I4" s="10" t="s">
        <v>26</v>
      </c>
      <c r="J4" s="10" t="s">
        <v>28</v>
      </c>
      <c r="K4" s="10" t="s">
        <v>30</v>
      </c>
      <c r="L4" s="10" t="s">
        <v>32</v>
      </c>
      <c r="M4" s="10" t="s">
        <v>33</v>
      </c>
      <c r="N4" s="10" t="s">
        <v>35</v>
      </c>
      <c r="O4" s="10" t="s">
        <v>37</v>
      </c>
    </row>
    <row r="5" ht="15.75" customHeight="1">
      <c r="B5" s="11" t="s">
        <v>39</v>
      </c>
      <c r="C5" s="13"/>
      <c r="D5" s="13"/>
      <c r="E5" s="13"/>
      <c r="F5" s="13"/>
      <c r="G5" s="13"/>
      <c r="H5" s="13"/>
      <c r="I5" s="13"/>
      <c r="J5" s="13"/>
      <c r="K5" s="13"/>
      <c r="L5" s="13"/>
      <c r="M5" s="13"/>
      <c r="N5" s="13"/>
      <c r="O5" s="15"/>
    </row>
    <row r="6" ht="60.0" customHeight="1">
      <c r="B6" s="17">
        <v>1.0</v>
      </c>
      <c r="C6" s="18" t="s">
        <v>47</v>
      </c>
      <c r="D6" s="19" t="s">
        <v>51</v>
      </c>
      <c r="E6" s="19" t="s">
        <v>53</v>
      </c>
      <c r="F6" s="19" t="s">
        <v>54</v>
      </c>
      <c r="G6" s="19" t="s">
        <v>55</v>
      </c>
      <c r="H6" s="19" t="s">
        <v>56</v>
      </c>
      <c r="I6" s="19" t="s">
        <v>58</v>
      </c>
      <c r="J6" s="19">
        <v>4.0</v>
      </c>
      <c r="K6" s="19">
        <v>5.0</v>
      </c>
      <c r="L6" s="19">
        <v>5.0</v>
      </c>
      <c r="M6" s="19"/>
      <c r="N6" s="19"/>
      <c r="O6" s="19"/>
    </row>
    <row r="7" ht="60.0" customHeight="1">
      <c r="B7" s="17">
        <v>2.0</v>
      </c>
      <c r="C7" s="18" t="s">
        <v>47</v>
      </c>
      <c r="D7" s="19" t="s">
        <v>60</v>
      </c>
      <c r="E7" s="19" t="s">
        <v>61</v>
      </c>
      <c r="F7" s="19" t="s">
        <v>62</v>
      </c>
      <c r="G7" s="19" t="s">
        <v>63</v>
      </c>
      <c r="H7" s="19" t="s">
        <v>64</v>
      </c>
      <c r="I7" s="19" t="s">
        <v>65</v>
      </c>
      <c r="J7" s="19">
        <v>5.0</v>
      </c>
      <c r="K7" s="19">
        <v>4.0</v>
      </c>
      <c r="L7" s="19">
        <v>4.0</v>
      </c>
      <c r="M7" s="19"/>
      <c r="N7" s="19"/>
      <c r="O7" s="19"/>
    </row>
    <row r="8" ht="60.0" customHeight="1">
      <c r="B8" s="17">
        <v>3.0</v>
      </c>
      <c r="C8" s="18" t="s">
        <v>47</v>
      </c>
      <c r="D8" s="19" t="s">
        <v>66</v>
      </c>
      <c r="E8" s="19" t="s">
        <v>61</v>
      </c>
      <c r="F8" s="19" t="s">
        <v>67</v>
      </c>
      <c r="G8" s="19" t="s">
        <v>68</v>
      </c>
      <c r="H8" s="19" t="s">
        <v>69</v>
      </c>
      <c r="I8" s="19" t="s">
        <v>70</v>
      </c>
      <c r="J8" s="19">
        <v>5.0</v>
      </c>
      <c r="K8" s="19">
        <v>5.0</v>
      </c>
      <c r="L8" s="19">
        <v>5.0</v>
      </c>
      <c r="M8" s="19"/>
      <c r="N8" s="19"/>
      <c r="O8" s="19"/>
    </row>
    <row r="9" ht="60.0" customHeight="1">
      <c r="B9" s="17">
        <v>4.0</v>
      </c>
      <c r="C9" s="18" t="s">
        <v>47</v>
      </c>
      <c r="D9" s="19" t="s">
        <v>71</v>
      </c>
      <c r="E9" s="19" t="s">
        <v>72</v>
      </c>
      <c r="F9" s="19" t="s">
        <v>73</v>
      </c>
      <c r="G9" s="19" t="s">
        <v>74</v>
      </c>
      <c r="H9" s="19" t="s">
        <v>75</v>
      </c>
      <c r="I9" s="19" t="s">
        <v>76</v>
      </c>
      <c r="J9" s="19">
        <v>5.0</v>
      </c>
      <c r="K9" s="19">
        <v>5.0</v>
      </c>
      <c r="L9" s="19">
        <v>5.0</v>
      </c>
      <c r="M9" s="19"/>
      <c r="N9" s="19"/>
      <c r="O9" s="19"/>
    </row>
    <row r="10" ht="60.0" customHeight="1">
      <c r="B10" s="17">
        <v>5.0</v>
      </c>
      <c r="C10" s="18" t="s">
        <v>47</v>
      </c>
      <c r="D10" s="19" t="s">
        <v>77</v>
      </c>
      <c r="E10" s="19" t="s">
        <v>78</v>
      </c>
      <c r="F10" s="19" t="s">
        <v>79</v>
      </c>
      <c r="G10" s="19" t="s">
        <v>81</v>
      </c>
      <c r="H10" s="19" t="s">
        <v>82</v>
      </c>
      <c r="I10" s="19" t="s">
        <v>83</v>
      </c>
      <c r="J10" s="19">
        <v>5.0</v>
      </c>
      <c r="K10" s="19">
        <v>3.0</v>
      </c>
      <c r="L10" s="19">
        <v>5.0</v>
      </c>
      <c r="M10" s="19"/>
      <c r="N10" s="19"/>
      <c r="O10" s="19"/>
    </row>
    <row r="11" ht="15.75" customHeight="1">
      <c r="B11" s="11" t="s">
        <v>84</v>
      </c>
      <c r="C11" s="13"/>
      <c r="D11" s="13"/>
      <c r="E11" s="13"/>
      <c r="F11" s="13"/>
      <c r="G11" s="13"/>
      <c r="H11" s="13"/>
      <c r="I11" s="13"/>
      <c r="J11" s="13"/>
      <c r="K11" s="13"/>
      <c r="L11" s="13"/>
      <c r="M11" s="13"/>
      <c r="N11" s="13"/>
      <c r="O11" s="15"/>
    </row>
    <row r="12" ht="60.0" customHeight="1">
      <c r="B12" s="17">
        <v>6.0</v>
      </c>
      <c r="C12" s="18" t="s">
        <v>85</v>
      </c>
      <c r="D12" s="19" t="s">
        <v>51</v>
      </c>
      <c r="E12" s="19" t="s">
        <v>61</v>
      </c>
      <c r="F12" s="19" t="s">
        <v>54</v>
      </c>
      <c r="G12" s="19" t="s">
        <v>55</v>
      </c>
      <c r="H12" s="19" t="s">
        <v>86</v>
      </c>
      <c r="I12" s="19" t="s">
        <v>87</v>
      </c>
      <c r="J12" s="19">
        <v>5.0</v>
      </c>
      <c r="K12" s="19">
        <v>5.0</v>
      </c>
      <c r="L12" s="19">
        <v>5.0</v>
      </c>
      <c r="M12" s="19"/>
      <c r="N12" s="19"/>
      <c r="O12" s="19"/>
    </row>
    <row r="13" ht="60.0" customHeight="1">
      <c r="B13" s="17">
        <v>7.0</v>
      </c>
      <c r="C13" s="18" t="s">
        <v>85</v>
      </c>
      <c r="D13" s="19" t="s">
        <v>60</v>
      </c>
      <c r="E13" s="19" t="s">
        <v>61</v>
      </c>
      <c r="F13" s="19" t="s">
        <v>62</v>
      </c>
      <c r="G13" s="19" t="s">
        <v>63</v>
      </c>
      <c r="H13" s="19" t="s">
        <v>88</v>
      </c>
      <c r="I13" s="19" t="s">
        <v>89</v>
      </c>
      <c r="J13" s="19">
        <v>5.0</v>
      </c>
      <c r="K13" s="19">
        <v>4.0</v>
      </c>
      <c r="L13" s="19">
        <v>4.0</v>
      </c>
      <c r="M13" s="19"/>
      <c r="N13" s="19"/>
      <c r="O13" s="19"/>
    </row>
    <row r="14" ht="60.0" customHeight="1">
      <c r="B14" s="17">
        <v>8.0</v>
      </c>
      <c r="C14" s="18" t="s">
        <v>85</v>
      </c>
      <c r="D14" s="19" t="s">
        <v>66</v>
      </c>
      <c r="E14" s="19" t="s">
        <v>90</v>
      </c>
      <c r="F14" s="19" t="s">
        <v>67</v>
      </c>
      <c r="G14" s="19" t="s">
        <v>68</v>
      </c>
      <c r="H14" s="19" t="s">
        <v>91</v>
      </c>
      <c r="I14" s="19" t="s">
        <v>92</v>
      </c>
      <c r="J14" s="19">
        <v>5.0</v>
      </c>
      <c r="K14" s="19">
        <v>5.0</v>
      </c>
      <c r="L14" s="19">
        <v>5.0</v>
      </c>
      <c r="M14" s="19"/>
      <c r="N14" s="19"/>
      <c r="O14" s="19"/>
    </row>
    <row r="15" ht="60.0" customHeight="1">
      <c r="B15" s="17">
        <v>9.0</v>
      </c>
      <c r="C15" s="18" t="s">
        <v>85</v>
      </c>
      <c r="D15" s="19" t="s">
        <v>71</v>
      </c>
      <c r="E15" s="19" t="s">
        <v>93</v>
      </c>
      <c r="F15" s="19" t="s">
        <v>73</v>
      </c>
      <c r="G15" s="19" t="s">
        <v>74</v>
      </c>
      <c r="H15" s="19" t="s">
        <v>94</v>
      </c>
      <c r="I15" s="19" t="s">
        <v>95</v>
      </c>
      <c r="J15" s="19">
        <v>5.0</v>
      </c>
      <c r="K15" s="19">
        <v>5.0</v>
      </c>
      <c r="L15" s="19">
        <v>5.0</v>
      </c>
      <c r="M15" s="19"/>
      <c r="N15" s="19"/>
      <c r="O15" s="19"/>
    </row>
    <row r="16" ht="60.0" customHeight="1">
      <c r="B16" s="17">
        <v>10.0</v>
      </c>
      <c r="C16" s="18" t="s">
        <v>85</v>
      </c>
      <c r="D16" s="19" t="s">
        <v>77</v>
      </c>
      <c r="E16" s="19" t="s">
        <v>53</v>
      </c>
      <c r="F16" s="19" t="s">
        <v>79</v>
      </c>
      <c r="G16" s="19" t="s">
        <v>81</v>
      </c>
      <c r="H16" s="19" t="s">
        <v>96</v>
      </c>
      <c r="I16" s="19" t="s">
        <v>97</v>
      </c>
      <c r="J16" s="19">
        <v>5.0</v>
      </c>
      <c r="K16" s="19">
        <v>5.0</v>
      </c>
      <c r="L16" s="19">
        <v>5.0</v>
      </c>
      <c r="M16" s="19"/>
      <c r="N16" s="19"/>
      <c r="O16" s="19"/>
    </row>
    <row r="17" ht="15.75" customHeight="1">
      <c r="B17" s="11" t="s">
        <v>98</v>
      </c>
      <c r="C17" s="13"/>
      <c r="D17" s="13"/>
      <c r="E17" s="13"/>
      <c r="F17" s="13"/>
      <c r="G17" s="13"/>
      <c r="H17" s="13"/>
      <c r="I17" s="13"/>
      <c r="J17" s="13"/>
      <c r="K17" s="13"/>
      <c r="L17" s="13"/>
      <c r="M17" s="13"/>
      <c r="N17" s="13"/>
      <c r="O17" s="15"/>
    </row>
    <row r="18" ht="60.0" customHeight="1">
      <c r="B18" s="17">
        <v>11.0</v>
      </c>
      <c r="C18" s="18" t="s">
        <v>99</v>
      </c>
      <c r="D18" s="19" t="s">
        <v>51</v>
      </c>
      <c r="E18" s="19" t="s">
        <v>72</v>
      </c>
      <c r="F18" s="19" t="s">
        <v>54</v>
      </c>
      <c r="G18" s="19" t="s">
        <v>55</v>
      </c>
      <c r="H18" s="19" t="s">
        <v>100</v>
      </c>
      <c r="I18" s="19" t="s">
        <v>101</v>
      </c>
      <c r="J18" s="19">
        <v>5.0</v>
      </c>
      <c r="K18" s="19">
        <v>5.0</v>
      </c>
      <c r="L18" s="19">
        <v>5.0</v>
      </c>
      <c r="M18" s="19"/>
      <c r="N18" s="19"/>
      <c r="O18" s="19"/>
    </row>
    <row r="19" ht="60.0" customHeight="1">
      <c r="B19" s="17">
        <v>12.0</v>
      </c>
      <c r="C19" s="18" t="s">
        <v>99</v>
      </c>
      <c r="D19" s="19" t="s">
        <v>60</v>
      </c>
      <c r="E19" s="19" t="s">
        <v>78</v>
      </c>
      <c r="F19" s="19" t="s">
        <v>62</v>
      </c>
      <c r="G19" s="19" t="s">
        <v>63</v>
      </c>
      <c r="H19" s="19" t="s">
        <v>102</v>
      </c>
      <c r="I19" s="19" t="s">
        <v>103</v>
      </c>
      <c r="J19" s="19">
        <v>5.0</v>
      </c>
      <c r="K19" s="19">
        <v>5.0</v>
      </c>
      <c r="L19" s="19">
        <v>5.0</v>
      </c>
      <c r="M19" s="19"/>
      <c r="N19" s="19"/>
      <c r="O19" s="19"/>
    </row>
    <row r="20" ht="60.0" customHeight="1">
      <c r="B20" s="17">
        <v>13.0</v>
      </c>
      <c r="C20" s="18" t="s">
        <v>99</v>
      </c>
      <c r="D20" s="19" t="s">
        <v>66</v>
      </c>
      <c r="E20" s="19" t="s">
        <v>90</v>
      </c>
      <c r="F20" s="19" t="s">
        <v>67</v>
      </c>
      <c r="G20" s="19" t="s">
        <v>68</v>
      </c>
      <c r="H20" s="19" t="s">
        <v>104</v>
      </c>
      <c r="I20" s="19" t="s">
        <v>105</v>
      </c>
      <c r="J20" s="19">
        <v>5.0</v>
      </c>
      <c r="K20" s="19">
        <v>4.0</v>
      </c>
      <c r="L20" s="19">
        <v>5.0</v>
      </c>
      <c r="M20" s="19"/>
      <c r="N20" s="19"/>
      <c r="O20" s="19"/>
    </row>
    <row r="21" ht="60.0" customHeight="1">
      <c r="B21" s="17">
        <v>14.0</v>
      </c>
      <c r="C21" s="18" t="s">
        <v>99</v>
      </c>
      <c r="D21" s="19" t="s">
        <v>71</v>
      </c>
      <c r="E21" s="19" t="s">
        <v>78</v>
      </c>
      <c r="F21" s="19" t="s">
        <v>73</v>
      </c>
      <c r="G21" s="19" t="s">
        <v>74</v>
      </c>
      <c r="H21" s="19" t="s">
        <v>109</v>
      </c>
      <c r="I21" s="19" t="s">
        <v>110</v>
      </c>
      <c r="J21" s="19">
        <v>5.0</v>
      </c>
      <c r="K21" s="19">
        <v>5.0</v>
      </c>
      <c r="L21" s="19">
        <v>5.0</v>
      </c>
      <c r="M21" s="19"/>
      <c r="N21" s="19"/>
      <c r="O21" s="19"/>
    </row>
    <row r="22" ht="60.0" customHeight="1">
      <c r="B22" s="17">
        <v>15.0</v>
      </c>
      <c r="C22" s="18" t="s">
        <v>99</v>
      </c>
      <c r="D22" s="19" t="s">
        <v>77</v>
      </c>
      <c r="E22" s="19" t="s">
        <v>78</v>
      </c>
      <c r="F22" s="19" t="s">
        <v>79</v>
      </c>
      <c r="G22" s="19" t="s">
        <v>81</v>
      </c>
      <c r="H22" s="19" t="s">
        <v>111</v>
      </c>
      <c r="I22" s="19" t="s">
        <v>112</v>
      </c>
      <c r="J22" s="19">
        <v>5.0</v>
      </c>
      <c r="K22" s="19">
        <v>5.0</v>
      </c>
      <c r="L22" s="19">
        <v>5.0</v>
      </c>
      <c r="M22" s="19"/>
      <c r="N22" s="19"/>
      <c r="O22" s="19"/>
    </row>
    <row r="23" ht="15.75" customHeight="1">
      <c r="B23" s="1"/>
      <c r="C23" s="1"/>
      <c r="D23" s="1"/>
      <c r="E23" s="1"/>
      <c r="F23" s="1"/>
      <c r="G23" s="1"/>
      <c r="H23" s="1"/>
      <c r="I23" s="1"/>
      <c r="J23" s="1"/>
      <c r="K23" s="1"/>
      <c r="L23" s="1"/>
      <c r="M23" s="1"/>
      <c r="N23" s="1"/>
      <c r="O23" s="1"/>
    </row>
    <row r="24" ht="15.75" customHeight="1">
      <c r="B24" s="1"/>
      <c r="C24" s="1"/>
      <c r="D24" s="1"/>
      <c r="E24" s="1"/>
      <c r="F24" s="1"/>
      <c r="G24" s="1"/>
      <c r="H24" s="1"/>
      <c r="I24" s="1"/>
      <c r="J24" s="1"/>
      <c r="K24" s="1"/>
      <c r="L24" s="1"/>
      <c r="M24" s="1"/>
      <c r="N24" s="1"/>
      <c r="O24" s="1"/>
    </row>
    <row r="25" ht="15.75" customHeight="1">
      <c r="B25" s="1"/>
      <c r="C25" s="1"/>
      <c r="D25" s="1"/>
      <c r="E25" s="1"/>
      <c r="F25" s="1"/>
      <c r="G25" s="1"/>
      <c r="H25" s="1"/>
      <c r="I25" s="1"/>
      <c r="J25" s="1"/>
      <c r="K25" s="1"/>
      <c r="L25" s="1"/>
      <c r="M25" s="1"/>
      <c r="N25" s="1"/>
      <c r="O25" s="1"/>
    </row>
    <row r="26" ht="15.75" customHeight="1">
      <c r="B26" s="1"/>
      <c r="C26" s="1"/>
      <c r="D26" s="1"/>
      <c r="E26" s="1"/>
      <c r="F26" s="1"/>
      <c r="G26" s="1"/>
      <c r="H26" s="1"/>
      <c r="I26" s="1"/>
      <c r="J26" s="1"/>
      <c r="K26" s="1"/>
      <c r="L26" s="1"/>
      <c r="M26" s="1"/>
      <c r="N26" s="1"/>
      <c r="O26" s="1"/>
    </row>
    <row r="27" ht="15.75" customHeight="1">
      <c r="B27" s="1"/>
      <c r="C27" s="1"/>
      <c r="D27" s="1"/>
      <c r="E27" s="1"/>
      <c r="F27" s="1"/>
      <c r="G27" s="1"/>
      <c r="H27" s="1"/>
      <c r="I27" s="1"/>
      <c r="J27" s="1"/>
      <c r="K27" s="1"/>
      <c r="L27" s="1"/>
      <c r="M27" s="1"/>
      <c r="N27" s="1"/>
      <c r="O27" s="1"/>
    </row>
    <row r="28" ht="15.75" customHeight="1">
      <c r="B28" s="1"/>
      <c r="C28" s="1"/>
      <c r="D28" s="1"/>
      <c r="E28" s="1"/>
      <c r="F28" s="1"/>
      <c r="G28" s="1"/>
      <c r="H28" s="1"/>
      <c r="I28" s="1"/>
      <c r="J28" s="1"/>
      <c r="K28" s="1"/>
      <c r="L28" s="1"/>
      <c r="M28" s="1"/>
      <c r="N28" s="1"/>
      <c r="O28" s="1"/>
    </row>
    <row r="29" ht="15.75" customHeight="1">
      <c r="B29" s="1"/>
      <c r="C29" s="1"/>
      <c r="D29" s="1"/>
      <c r="E29" s="1"/>
      <c r="F29" s="1"/>
      <c r="G29" s="1"/>
      <c r="H29" s="1"/>
      <c r="I29" s="1"/>
      <c r="J29" s="1"/>
      <c r="K29" s="1"/>
      <c r="L29" s="1"/>
      <c r="M29" s="1"/>
      <c r="N29" s="1"/>
      <c r="O29" s="1"/>
    </row>
    <row r="30" ht="15.75" customHeight="1">
      <c r="B30" s="1"/>
      <c r="C30" s="1"/>
      <c r="D30" s="1"/>
      <c r="E30" s="1"/>
      <c r="F30" s="1"/>
      <c r="G30" s="1"/>
      <c r="H30" s="1"/>
      <c r="I30" s="1"/>
      <c r="J30" s="1"/>
      <c r="K30" s="1"/>
      <c r="L30" s="1"/>
      <c r="M30" s="1"/>
      <c r="N30" s="1"/>
      <c r="O30" s="1"/>
    </row>
    <row r="31" ht="15.75" customHeight="1">
      <c r="B31" s="1"/>
      <c r="C31" s="1"/>
      <c r="D31" s="1"/>
      <c r="E31" s="1"/>
      <c r="F31" s="1"/>
      <c r="G31" s="1"/>
      <c r="H31" s="1"/>
      <c r="I31" s="1"/>
      <c r="J31" s="1"/>
      <c r="K31" s="1"/>
      <c r="L31" s="1"/>
      <c r="M31" s="1"/>
      <c r="N31" s="1"/>
      <c r="O31" s="1"/>
    </row>
    <row r="32" ht="15.75" customHeight="1">
      <c r="B32" s="1"/>
      <c r="C32" s="1"/>
      <c r="D32" s="1"/>
      <c r="E32" s="1"/>
      <c r="F32" s="1"/>
      <c r="G32" s="1"/>
      <c r="H32" s="1"/>
      <c r="I32" s="1"/>
      <c r="J32" s="1"/>
      <c r="K32" s="1"/>
      <c r="L32" s="1"/>
      <c r="M32" s="1"/>
      <c r="N32" s="1"/>
      <c r="O32" s="1"/>
    </row>
    <row r="33" ht="15.75" customHeight="1">
      <c r="B33" s="1"/>
      <c r="C33" s="1"/>
      <c r="D33" s="1"/>
      <c r="E33" s="1"/>
      <c r="F33" s="1"/>
      <c r="G33" s="1"/>
      <c r="H33" s="1"/>
      <c r="I33" s="1"/>
      <c r="J33" s="1"/>
      <c r="K33" s="1"/>
      <c r="L33" s="1"/>
      <c r="M33" s="1"/>
      <c r="N33" s="1"/>
      <c r="O33" s="1"/>
    </row>
    <row r="34" ht="15.75" customHeight="1">
      <c r="B34" s="1"/>
      <c r="C34" s="1"/>
      <c r="D34" s="1"/>
      <c r="E34" s="1"/>
      <c r="F34" s="1"/>
      <c r="G34" s="1"/>
      <c r="H34" s="1"/>
      <c r="I34" s="1"/>
      <c r="J34" s="1"/>
      <c r="K34" s="1"/>
      <c r="L34" s="1"/>
      <c r="M34" s="1"/>
      <c r="N34" s="1"/>
      <c r="O34" s="1"/>
    </row>
    <row r="35" ht="15.75" customHeight="1">
      <c r="B35" s="1"/>
      <c r="C35" s="1"/>
      <c r="D35" s="1"/>
      <c r="E35" s="1"/>
      <c r="F35" s="1"/>
      <c r="G35" s="1"/>
      <c r="H35" s="1"/>
      <c r="I35" s="1"/>
      <c r="J35" s="1"/>
      <c r="K35" s="1"/>
      <c r="L35" s="1"/>
      <c r="M35" s="1"/>
      <c r="N35" s="1"/>
      <c r="O35" s="1"/>
    </row>
    <row r="36" ht="15.75" customHeight="1">
      <c r="B36" s="1"/>
      <c r="C36" s="1"/>
      <c r="D36" s="1"/>
      <c r="E36" s="1"/>
      <c r="F36" s="1"/>
      <c r="G36" s="1"/>
      <c r="H36" s="1"/>
      <c r="I36" s="1"/>
      <c r="J36" s="1"/>
      <c r="K36" s="1"/>
      <c r="L36" s="1"/>
      <c r="M36" s="1"/>
      <c r="N36" s="1"/>
      <c r="O36" s="1"/>
    </row>
    <row r="37" ht="15.75" customHeight="1">
      <c r="B37" s="1"/>
      <c r="C37" s="1"/>
      <c r="D37" s="1"/>
      <c r="E37" s="1"/>
      <c r="F37" s="1"/>
      <c r="G37" s="1"/>
      <c r="H37" s="1"/>
      <c r="I37" s="1"/>
      <c r="J37" s="1"/>
      <c r="K37" s="1"/>
      <c r="L37" s="1"/>
      <c r="M37" s="1"/>
      <c r="N37" s="1"/>
      <c r="O37" s="1"/>
    </row>
    <row r="38" ht="15.75" customHeight="1">
      <c r="B38" s="1"/>
      <c r="C38" s="1"/>
      <c r="D38" s="1"/>
      <c r="E38" s="1"/>
      <c r="F38" s="1"/>
      <c r="G38" s="1"/>
      <c r="H38" s="1"/>
      <c r="I38" s="1"/>
      <c r="J38" s="1"/>
      <c r="K38" s="1"/>
      <c r="L38" s="1"/>
      <c r="M38" s="1"/>
      <c r="N38" s="1"/>
      <c r="O38" s="1"/>
    </row>
    <row r="39" ht="15.75" customHeight="1">
      <c r="B39" s="1"/>
      <c r="C39" s="1"/>
      <c r="D39" s="1"/>
      <c r="E39" s="1"/>
      <c r="F39" s="1"/>
      <c r="G39" s="1"/>
      <c r="H39" s="1"/>
      <c r="I39" s="1"/>
      <c r="J39" s="1"/>
      <c r="K39" s="1"/>
      <c r="L39" s="1"/>
      <c r="M39" s="1"/>
      <c r="N39" s="1"/>
      <c r="O39" s="1"/>
    </row>
    <row r="40" ht="15.75" customHeight="1">
      <c r="B40" s="1"/>
      <c r="C40" s="1"/>
      <c r="D40" s="1"/>
      <c r="E40" s="1"/>
      <c r="F40" s="1"/>
      <c r="G40" s="1"/>
      <c r="H40" s="1"/>
      <c r="I40" s="1"/>
      <c r="J40" s="1"/>
      <c r="K40" s="1"/>
      <c r="L40" s="1"/>
      <c r="M40" s="1"/>
      <c r="N40" s="1"/>
      <c r="O40" s="1"/>
    </row>
    <row r="41" ht="15.75" customHeight="1">
      <c r="B41" s="1"/>
      <c r="C41" s="1"/>
      <c r="D41" s="1"/>
      <c r="E41" s="1"/>
      <c r="F41" s="1"/>
      <c r="G41" s="1"/>
      <c r="H41" s="1"/>
      <c r="I41" s="1"/>
      <c r="J41" s="1"/>
      <c r="K41" s="1"/>
      <c r="L41" s="1"/>
      <c r="M41" s="1"/>
      <c r="N41" s="1"/>
      <c r="O41" s="1"/>
    </row>
    <row r="42" ht="15.75" customHeight="1">
      <c r="B42" s="1"/>
      <c r="C42" s="1"/>
      <c r="D42" s="1"/>
      <c r="E42" s="1"/>
      <c r="F42" s="1"/>
      <c r="G42" s="1"/>
      <c r="H42" s="1"/>
      <c r="I42" s="1"/>
      <c r="J42" s="1"/>
      <c r="K42" s="1"/>
      <c r="L42" s="1"/>
      <c r="M42" s="1"/>
      <c r="N42" s="1"/>
      <c r="O42" s="1"/>
    </row>
    <row r="43" ht="15.75" customHeight="1">
      <c r="B43" s="1"/>
      <c r="C43" s="1"/>
      <c r="D43" s="1"/>
      <c r="E43" s="1"/>
      <c r="F43" s="1"/>
      <c r="G43" s="1"/>
      <c r="H43" s="1"/>
      <c r="I43" s="1"/>
      <c r="J43" s="1"/>
      <c r="K43" s="1"/>
      <c r="L43" s="1"/>
      <c r="M43" s="1"/>
      <c r="N43" s="1"/>
      <c r="O43" s="1"/>
    </row>
    <row r="44" ht="15.75" customHeight="1">
      <c r="B44" s="1"/>
      <c r="C44" s="1"/>
      <c r="D44" s="1"/>
      <c r="E44" s="1"/>
      <c r="F44" s="1"/>
      <c r="G44" s="1"/>
      <c r="H44" s="1"/>
      <c r="I44" s="1"/>
      <c r="J44" s="1"/>
      <c r="K44" s="1"/>
      <c r="L44" s="1"/>
      <c r="M44" s="1"/>
      <c r="N44" s="1"/>
      <c r="O44" s="1"/>
    </row>
    <row r="45" ht="15.75" customHeight="1">
      <c r="B45" s="1"/>
      <c r="C45" s="1"/>
      <c r="D45" s="1"/>
      <c r="E45" s="1"/>
      <c r="F45" s="1"/>
      <c r="G45" s="1"/>
      <c r="H45" s="1"/>
      <c r="I45" s="1"/>
      <c r="J45" s="1"/>
      <c r="K45" s="1"/>
      <c r="L45" s="1"/>
      <c r="M45" s="1"/>
      <c r="N45" s="1"/>
      <c r="O45" s="1"/>
    </row>
    <row r="46" ht="15.75" customHeight="1">
      <c r="B46" s="1"/>
      <c r="C46" s="1"/>
      <c r="D46" s="1"/>
      <c r="E46" s="1"/>
      <c r="F46" s="1"/>
      <c r="G46" s="1"/>
      <c r="H46" s="1"/>
      <c r="I46" s="1"/>
      <c r="J46" s="1"/>
      <c r="K46" s="1"/>
      <c r="L46" s="1"/>
      <c r="M46" s="1"/>
      <c r="N46" s="1"/>
      <c r="O46" s="1"/>
    </row>
    <row r="47" ht="15.75" customHeight="1">
      <c r="B47" s="1"/>
      <c r="C47" s="1"/>
      <c r="D47" s="1"/>
      <c r="E47" s="1"/>
      <c r="F47" s="1"/>
      <c r="G47" s="1"/>
      <c r="H47" s="1"/>
      <c r="I47" s="1"/>
      <c r="J47" s="1"/>
      <c r="K47" s="1"/>
      <c r="L47" s="1"/>
      <c r="M47" s="1"/>
      <c r="N47" s="1"/>
      <c r="O47" s="1"/>
    </row>
    <row r="48" ht="15.75" customHeight="1">
      <c r="B48" s="1"/>
      <c r="C48" s="1"/>
      <c r="D48" s="1"/>
      <c r="E48" s="1"/>
      <c r="F48" s="1"/>
      <c r="G48" s="1"/>
      <c r="H48" s="1"/>
      <c r="I48" s="1"/>
      <c r="J48" s="1"/>
      <c r="K48" s="1"/>
      <c r="L48" s="1"/>
      <c r="M48" s="1"/>
      <c r="N48" s="1"/>
      <c r="O48" s="1"/>
    </row>
    <row r="49" ht="15.75" customHeight="1">
      <c r="B49" s="1"/>
      <c r="C49" s="1"/>
      <c r="D49" s="1"/>
      <c r="E49" s="1"/>
      <c r="F49" s="1"/>
      <c r="G49" s="1"/>
      <c r="H49" s="1"/>
      <c r="I49" s="1"/>
      <c r="J49" s="1"/>
      <c r="K49" s="1"/>
      <c r="L49" s="1"/>
      <c r="M49" s="1"/>
      <c r="N49" s="1"/>
      <c r="O49" s="1"/>
    </row>
    <row r="50" ht="15.75" customHeight="1">
      <c r="B50" s="1"/>
      <c r="C50" s="1"/>
      <c r="D50" s="1"/>
      <c r="E50" s="1"/>
      <c r="F50" s="1"/>
      <c r="G50" s="1"/>
      <c r="H50" s="1"/>
      <c r="I50" s="1"/>
      <c r="J50" s="1"/>
      <c r="K50" s="1"/>
      <c r="L50" s="1"/>
      <c r="M50" s="1"/>
      <c r="N50" s="1"/>
      <c r="O50" s="1"/>
    </row>
    <row r="51" ht="15.75" customHeight="1">
      <c r="B51" s="1"/>
      <c r="C51" s="1"/>
      <c r="D51" s="1"/>
      <c r="E51" s="1"/>
      <c r="F51" s="1"/>
      <c r="G51" s="1"/>
      <c r="H51" s="1"/>
      <c r="I51" s="1"/>
      <c r="J51" s="1"/>
      <c r="K51" s="1"/>
      <c r="L51" s="1"/>
      <c r="M51" s="1"/>
      <c r="N51" s="1"/>
      <c r="O51" s="1"/>
    </row>
    <row r="52" ht="15.75" customHeight="1">
      <c r="B52" s="1"/>
      <c r="C52" s="1"/>
      <c r="D52" s="1"/>
      <c r="E52" s="1"/>
      <c r="F52" s="1"/>
      <c r="G52" s="1"/>
      <c r="H52" s="1"/>
      <c r="I52" s="1"/>
      <c r="J52" s="1"/>
      <c r="K52" s="1"/>
      <c r="L52" s="1"/>
      <c r="M52" s="1"/>
      <c r="N52" s="1"/>
      <c r="O52" s="1"/>
    </row>
    <row r="53" ht="15.75" customHeight="1">
      <c r="B53" s="1"/>
      <c r="C53" s="1"/>
      <c r="D53" s="1"/>
      <c r="E53" s="1"/>
      <c r="F53" s="1"/>
      <c r="G53" s="1"/>
      <c r="H53" s="1"/>
      <c r="I53" s="1"/>
      <c r="J53" s="1"/>
      <c r="K53" s="1"/>
      <c r="L53" s="1"/>
      <c r="M53" s="1"/>
      <c r="N53" s="1"/>
      <c r="O53" s="1"/>
    </row>
    <row r="54" ht="15.75" customHeight="1">
      <c r="B54" s="1"/>
      <c r="C54" s="1"/>
      <c r="D54" s="1"/>
      <c r="E54" s="1"/>
      <c r="F54" s="1"/>
      <c r="G54" s="1"/>
      <c r="H54" s="1"/>
      <c r="I54" s="1"/>
      <c r="J54" s="1"/>
      <c r="K54" s="1"/>
      <c r="L54" s="1"/>
      <c r="M54" s="1"/>
      <c r="N54" s="1"/>
      <c r="O54" s="1"/>
    </row>
    <row r="55" ht="15.75" customHeight="1">
      <c r="B55" s="1"/>
      <c r="C55" s="1"/>
      <c r="D55" s="1"/>
      <c r="E55" s="1"/>
      <c r="F55" s="1"/>
      <c r="G55" s="1"/>
      <c r="H55" s="1"/>
      <c r="I55" s="1"/>
      <c r="J55" s="1"/>
      <c r="K55" s="1"/>
      <c r="L55" s="1"/>
      <c r="M55" s="1"/>
      <c r="N55" s="1"/>
      <c r="O55" s="1"/>
    </row>
    <row r="56" ht="15.75" customHeight="1">
      <c r="B56" s="1"/>
      <c r="C56" s="1"/>
      <c r="D56" s="1"/>
      <c r="E56" s="1"/>
      <c r="F56" s="1"/>
      <c r="G56" s="1"/>
      <c r="H56" s="1"/>
      <c r="I56" s="1"/>
      <c r="J56" s="1"/>
      <c r="K56" s="1"/>
      <c r="L56" s="1"/>
      <c r="M56" s="1"/>
      <c r="N56" s="1"/>
      <c r="O56" s="1"/>
    </row>
    <row r="57" ht="15.75" customHeight="1">
      <c r="B57" s="1"/>
      <c r="C57" s="1"/>
      <c r="D57" s="1"/>
      <c r="E57" s="1"/>
      <c r="F57" s="1"/>
      <c r="G57" s="1"/>
      <c r="H57" s="1"/>
      <c r="I57" s="1"/>
      <c r="J57" s="1"/>
      <c r="K57" s="1"/>
      <c r="L57" s="1"/>
      <c r="M57" s="1"/>
      <c r="N57" s="1"/>
      <c r="O57" s="1"/>
    </row>
    <row r="58" ht="15.75" customHeight="1">
      <c r="B58" s="1"/>
      <c r="C58" s="1"/>
      <c r="D58" s="1"/>
      <c r="E58" s="1"/>
      <c r="F58" s="1"/>
      <c r="G58" s="1"/>
      <c r="H58" s="1"/>
      <c r="I58" s="1"/>
      <c r="J58" s="1"/>
      <c r="K58" s="1"/>
      <c r="L58" s="1"/>
      <c r="M58" s="1"/>
      <c r="N58" s="1"/>
      <c r="O58" s="1"/>
    </row>
    <row r="59" ht="15.75" customHeight="1">
      <c r="B59" s="1"/>
      <c r="C59" s="1"/>
      <c r="D59" s="1"/>
      <c r="E59" s="1"/>
      <c r="F59" s="1"/>
      <c r="G59" s="1"/>
      <c r="H59" s="1"/>
      <c r="I59" s="1"/>
      <c r="J59" s="1"/>
      <c r="K59" s="1"/>
      <c r="L59" s="1"/>
      <c r="M59" s="1"/>
      <c r="N59" s="1"/>
      <c r="O59" s="1"/>
    </row>
    <row r="60" ht="15.75" customHeight="1">
      <c r="B60" s="1"/>
      <c r="C60" s="1"/>
      <c r="D60" s="1"/>
      <c r="E60" s="1"/>
      <c r="F60" s="1"/>
      <c r="G60" s="1"/>
      <c r="H60" s="1"/>
      <c r="I60" s="1"/>
      <c r="J60" s="1"/>
      <c r="K60" s="1"/>
      <c r="L60" s="1"/>
      <c r="M60" s="1"/>
      <c r="N60" s="1"/>
      <c r="O60" s="1"/>
    </row>
    <row r="61" ht="15.75" customHeight="1">
      <c r="B61" s="1"/>
      <c r="C61" s="1"/>
      <c r="D61" s="1"/>
      <c r="E61" s="1"/>
      <c r="F61" s="1"/>
      <c r="G61" s="1"/>
      <c r="H61" s="1"/>
      <c r="I61" s="1"/>
      <c r="J61" s="1"/>
      <c r="K61" s="1"/>
      <c r="L61" s="1"/>
      <c r="M61" s="1"/>
      <c r="N61" s="1"/>
      <c r="O61" s="1"/>
    </row>
    <row r="62" ht="15.75" customHeight="1">
      <c r="B62" s="1"/>
      <c r="C62" s="1"/>
      <c r="D62" s="1"/>
      <c r="E62" s="1"/>
      <c r="F62" s="1"/>
      <c r="G62" s="1"/>
      <c r="H62" s="1"/>
      <c r="I62" s="1"/>
      <c r="J62" s="1"/>
      <c r="K62" s="1"/>
      <c r="L62" s="1"/>
      <c r="M62" s="1"/>
      <c r="N62" s="1"/>
      <c r="O62" s="1"/>
    </row>
    <row r="63" ht="15.75" customHeight="1">
      <c r="B63" s="1"/>
      <c r="C63" s="1"/>
      <c r="D63" s="1"/>
      <c r="E63" s="1"/>
      <c r="F63" s="1"/>
      <c r="G63" s="1"/>
      <c r="H63" s="1"/>
      <c r="I63" s="1"/>
      <c r="J63" s="1"/>
      <c r="K63" s="1"/>
      <c r="L63" s="1"/>
      <c r="M63" s="1"/>
      <c r="N63" s="1"/>
      <c r="O63" s="1"/>
    </row>
    <row r="64" ht="15.75" customHeight="1">
      <c r="B64" s="1"/>
      <c r="C64" s="1"/>
      <c r="D64" s="1"/>
      <c r="E64" s="1"/>
      <c r="F64" s="1"/>
      <c r="G64" s="1"/>
      <c r="H64" s="1"/>
      <c r="I64" s="1"/>
      <c r="J64" s="1"/>
      <c r="K64" s="1"/>
      <c r="L64" s="1"/>
      <c r="M64" s="1"/>
      <c r="N64" s="1"/>
      <c r="O64" s="1"/>
    </row>
    <row r="65" ht="15.75" customHeight="1">
      <c r="B65" s="1"/>
      <c r="C65" s="1"/>
      <c r="D65" s="1"/>
      <c r="E65" s="1"/>
      <c r="F65" s="1"/>
      <c r="G65" s="1"/>
      <c r="H65" s="1"/>
      <c r="I65" s="1"/>
      <c r="J65" s="1"/>
      <c r="K65" s="1"/>
      <c r="L65" s="1"/>
      <c r="M65" s="1"/>
      <c r="N65" s="1"/>
      <c r="O65" s="1"/>
    </row>
    <row r="66" ht="15.75" customHeight="1">
      <c r="B66" s="1"/>
      <c r="C66" s="1"/>
      <c r="D66" s="1"/>
      <c r="E66" s="1"/>
      <c r="F66" s="1"/>
      <c r="G66" s="1"/>
      <c r="H66" s="1"/>
      <c r="I66" s="1"/>
      <c r="J66" s="1"/>
      <c r="K66" s="1"/>
      <c r="L66" s="1"/>
      <c r="M66" s="1"/>
      <c r="N66" s="1"/>
      <c r="O66" s="1"/>
    </row>
    <row r="67" ht="15.75" customHeight="1">
      <c r="B67" s="1"/>
      <c r="C67" s="1"/>
      <c r="D67" s="1"/>
      <c r="E67" s="1"/>
      <c r="F67" s="1"/>
      <c r="G67" s="1"/>
      <c r="H67" s="1"/>
      <c r="I67" s="1"/>
      <c r="J67" s="1"/>
      <c r="K67" s="1"/>
      <c r="L67" s="1"/>
      <c r="M67" s="1"/>
      <c r="N67" s="1"/>
      <c r="O67" s="1"/>
    </row>
    <row r="68" ht="15.75" customHeight="1">
      <c r="B68" s="1"/>
      <c r="C68" s="1"/>
      <c r="D68" s="1"/>
      <c r="E68" s="1"/>
      <c r="F68" s="1"/>
      <c r="G68" s="1"/>
      <c r="H68" s="1"/>
      <c r="I68" s="1"/>
      <c r="J68" s="1"/>
      <c r="K68" s="1"/>
      <c r="L68" s="1"/>
      <c r="M68" s="1"/>
      <c r="N68" s="1"/>
      <c r="O68" s="1"/>
    </row>
    <row r="69" ht="15.75" customHeight="1">
      <c r="B69" s="1"/>
      <c r="C69" s="1"/>
      <c r="D69" s="1"/>
      <c r="E69" s="1"/>
      <c r="F69" s="1"/>
      <c r="G69" s="1"/>
      <c r="H69" s="1"/>
      <c r="I69" s="1"/>
      <c r="J69" s="1"/>
      <c r="K69" s="1"/>
      <c r="L69" s="1"/>
      <c r="M69" s="1"/>
      <c r="N69" s="1"/>
      <c r="O69" s="1"/>
    </row>
    <row r="70" ht="15.75" customHeight="1">
      <c r="B70" s="1"/>
      <c r="C70" s="1"/>
      <c r="D70" s="1"/>
      <c r="E70" s="1"/>
      <c r="F70" s="1"/>
      <c r="G70" s="1"/>
      <c r="H70" s="1"/>
      <c r="I70" s="1"/>
      <c r="J70" s="1"/>
      <c r="K70" s="1"/>
      <c r="L70" s="1"/>
      <c r="M70" s="1"/>
      <c r="N70" s="1"/>
      <c r="O70" s="1"/>
    </row>
    <row r="71" ht="15.75" customHeight="1">
      <c r="B71" s="1"/>
      <c r="C71" s="1"/>
      <c r="D71" s="1"/>
      <c r="E71" s="1"/>
      <c r="F71" s="1"/>
      <c r="G71" s="1"/>
      <c r="H71" s="1"/>
      <c r="I71" s="1"/>
      <c r="J71" s="1"/>
      <c r="K71" s="1"/>
      <c r="L71" s="1"/>
      <c r="M71" s="1"/>
      <c r="N71" s="1"/>
      <c r="O71" s="1"/>
    </row>
    <row r="72" ht="15.75" customHeight="1">
      <c r="B72" s="1"/>
      <c r="C72" s="1"/>
      <c r="D72" s="1"/>
      <c r="E72" s="1"/>
      <c r="F72" s="1"/>
      <c r="G72" s="1"/>
      <c r="H72" s="1"/>
      <c r="I72" s="1"/>
      <c r="J72" s="1"/>
      <c r="K72" s="1"/>
      <c r="L72" s="1"/>
      <c r="M72" s="1"/>
      <c r="N72" s="1"/>
      <c r="O72" s="1"/>
    </row>
    <row r="73" ht="15.75" customHeight="1">
      <c r="B73" s="1"/>
      <c r="C73" s="1"/>
      <c r="D73" s="1"/>
      <c r="E73" s="1"/>
      <c r="F73" s="1"/>
      <c r="G73" s="1"/>
      <c r="H73" s="1"/>
      <c r="I73" s="1"/>
      <c r="J73" s="1"/>
      <c r="K73" s="1"/>
      <c r="L73" s="1"/>
      <c r="M73" s="1"/>
      <c r="N73" s="1"/>
      <c r="O73" s="1"/>
    </row>
    <row r="74" ht="15.75" customHeight="1">
      <c r="B74" s="1"/>
      <c r="C74" s="1"/>
      <c r="D74" s="1"/>
      <c r="E74" s="1"/>
      <c r="F74" s="1"/>
      <c r="G74" s="1"/>
      <c r="H74" s="1"/>
      <c r="I74" s="1"/>
      <c r="J74" s="1"/>
      <c r="K74" s="1"/>
      <c r="L74" s="1"/>
      <c r="M74" s="1"/>
      <c r="N74" s="1"/>
      <c r="O74" s="1"/>
    </row>
    <row r="75" ht="15.75" customHeight="1">
      <c r="B75" s="1"/>
      <c r="C75" s="1"/>
      <c r="D75" s="1"/>
      <c r="E75" s="1"/>
      <c r="F75" s="1"/>
      <c r="G75" s="1"/>
      <c r="H75" s="1"/>
      <c r="I75" s="1"/>
      <c r="J75" s="1"/>
      <c r="K75" s="1"/>
      <c r="L75" s="1"/>
      <c r="M75" s="1"/>
      <c r="N75" s="1"/>
      <c r="O75" s="1"/>
    </row>
    <row r="76" ht="15.75" customHeight="1">
      <c r="B76" s="1"/>
      <c r="C76" s="1"/>
      <c r="D76" s="1"/>
      <c r="E76" s="1"/>
      <c r="F76" s="1"/>
      <c r="G76" s="1"/>
      <c r="H76" s="1"/>
      <c r="I76" s="1"/>
      <c r="J76" s="1"/>
      <c r="K76" s="1"/>
      <c r="L76" s="1"/>
      <c r="M76" s="1"/>
      <c r="N76" s="1"/>
      <c r="O76" s="1"/>
    </row>
    <row r="77" ht="15.75" customHeight="1">
      <c r="B77" s="1"/>
      <c r="C77" s="1"/>
      <c r="D77" s="1"/>
      <c r="E77" s="1"/>
      <c r="F77" s="1"/>
      <c r="G77" s="1"/>
      <c r="H77" s="1"/>
      <c r="I77" s="1"/>
      <c r="J77" s="1"/>
      <c r="K77" s="1"/>
      <c r="L77" s="1"/>
      <c r="M77" s="1"/>
      <c r="N77" s="1"/>
      <c r="O77" s="1"/>
    </row>
    <row r="78" ht="15.75" customHeight="1">
      <c r="B78" s="1"/>
      <c r="C78" s="1"/>
      <c r="D78" s="1"/>
      <c r="E78" s="1"/>
      <c r="F78" s="1"/>
      <c r="G78" s="1"/>
      <c r="H78" s="1"/>
      <c r="I78" s="1"/>
      <c r="J78" s="1"/>
      <c r="K78" s="1"/>
      <c r="L78" s="1"/>
      <c r="M78" s="1"/>
      <c r="N78" s="1"/>
      <c r="O78" s="1"/>
    </row>
    <row r="79" ht="15.75" customHeight="1">
      <c r="B79" s="1"/>
      <c r="C79" s="1"/>
      <c r="D79" s="1"/>
      <c r="E79" s="1"/>
      <c r="F79" s="1"/>
      <c r="G79" s="1"/>
      <c r="H79" s="1"/>
      <c r="I79" s="1"/>
      <c r="J79" s="1"/>
      <c r="K79" s="1"/>
      <c r="L79" s="1"/>
      <c r="M79" s="1"/>
      <c r="N79" s="1"/>
      <c r="O79" s="1"/>
    </row>
    <row r="80" ht="15.75" customHeight="1">
      <c r="B80" s="1"/>
      <c r="C80" s="1"/>
      <c r="D80" s="1"/>
      <c r="E80" s="1"/>
      <c r="F80" s="1"/>
      <c r="G80" s="1"/>
      <c r="H80" s="1"/>
      <c r="I80" s="1"/>
      <c r="J80" s="1"/>
      <c r="K80" s="1"/>
      <c r="L80" s="1"/>
      <c r="M80" s="1"/>
      <c r="N80" s="1"/>
      <c r="O80" s="1"/>
    </row>
    <row r="81" ht="15.75" customHeight="1">
      <c r="B81" s="1"/>
      <c r="C81" s="1"/>
      <c r="D81" s="1"/>
      <c r="E81" s="1"/>
      <c r="F81" s="1"/>
      <c r="G81" s="1"/>
      <c r="H81" s="1"/>
      <c r="I81" s="1"/>
      <c r="J81" s="1"/>
      <c r="K81" s="1"/>
      <c r="L81" s="1"/>
      <c r="M81" s="1"/>
      <c r="N81" s="1"/>
      <c r="O81" s="1"/>
    </row>
    <row r="82" ht="15.75" customHeight="1">
      <c r="B82" s="1"/>
      <c r="C82" s="1"/>
      <c r="D82" s="1"/>
      <c r="E82" s="1"/>
      <c r="F82" s="1"/>
      <c r="G82" s="1"/>
      <c r="H82" s="1"/>
      <c r="I82" s="1"/>
      <c r="J82" s="1"/>
      <c r="K82" s="1"/>
      <c r="L82" s="1"/>
      <c r="M82" s="1"/>
      <c r="N82" s="1"/>
      <c r="O82" s="1"/>
    </row>
    <row r="83" ht="15.75" customHeight="1">
      <c r="B83" s="1"/>
      <c r="C83" s="1"/>
      <c r="D83" s="1"/>
      <c r="E83" s="1"/>
      <c r="F83" s="1"/>
      <c r="G83" s="1"/>
      <c r="H83" s="1"/>
      <c r="I83" s="1"/>
      <c r="J83" s="1"/>
      <c r="K83" s="1"/>
      <c r="L83" s="1"/>
      <c r="M83" s="1"/>
      <c r="N83" s="1"/>
      <c r="O83" s="1"/>
    </row>
    <row r="84" ht="15.75" customHeight="1">
      <c r="B84" s="1"/>
      <c r="C84" s="1"/>
      <c r="D84" s="1"/>
      <c r="E84" s="1"/>
      <c r="F84" s="1"/>
      <c r="G84" s="1"/>
      <c r="H84" s="1"/>
      <c r="I84" s="1"/>
      <c r="J84" s="1"/>
      <c r="K84" s="1"/>
      <c r="L84" s="1"/>
      <c r="M84" s="1"/>
      <c r="N84" s="1"/>
      <c r="O84" s="1"/>
    </row>
    <row r="85" ht="15.75" customHeight="1">
      <c r="B85" s="1"/>
      <c r="C85" s="1"/>
      <c r="D85" s="1"/>
      <c r="E85" s="1"/>
      <c r="F85" s="1"/>
      <c r="G85" s="1"/>
      <c r="H85" s="1"/>
      <c r="I85" s="1"/>
      <c r="J85" s="1"/>
      <c r="K85" s="1"/>
      <c r="L85" s="1"/>
      <c r="M85" s="1"/>
      <c r="N85" s="1"/>
      <c r="O85" s="1"/>
    </row>
    <row r="86" ht="15.75" customHeight="1">
      <c r="B86" s="1"/>
      <c r="C86" s="1"/>
      <c r="D86" s="1"/>
      <c r="E86" s="1"/>
      <c r="F86" s="1"/>
      <c r="G86" s="1"/>
      <c r="H86" s="1"/>
      <c r="I86" s="1"/>
      <c r="J86" s="1"/>
      <c r="K86" s="1"/>
      <c r="L86" s="1"/>
      <c r="M86" s="1"/>
      <c r="N86" s="1"/>
      <c r="O86" s="1"/>
    </row>
    <row r="87" ht="15.75" customHeight="1">
      <c r="B87" s="1"/>
      <c r="C87" s="1"/>
      <c r="D87" s="1"/>
      <c r="E87" s="1"/>
      <c r="F87" s="1"/>
      <c r="G87" s="1"/>
      <c r="H87" s="1"/>
      <c r="I87" s="1"/>
      <c r="J87" s="1"/>
      <c r="K87" s="1"/>
      <c r="L87" s="1"/>
      <c r="M87" s="1"/>
      <c r="N87" s="1"/>
      <c r="O87" s="1"/>
    </row>
    <row r="88" ht="15.75" customHeight="1">
      <c r="B88" s="1"/>
      <c r="C88" s="1"/>
      <c r="D88" s="1"/>
      <c r="E88" s="1"/>
      <c r="F88" s="1"/>
      <c r="G88" s="1"/>
      <c r="H88" s="1"/>
      <c r="I88" s="1"/>
      <c r="J88" s="1"/>
      <c r="K88" s="1"/>
      <c r="L88" s="1"/>
      <c r="M88" s="1"/>
      <c r="N88" s="1"/>
      <c r="O88" s="1"/>
    </row>
    <row r="89" ht="15.75" customHeight="1">
      <c r="B89" s="1"/>
      <c r="C89" s="1"/>
      <c r="D89" s="1"/>
      <c r="E89" s="1"/>
      <c r="F89" s="1"/>
      <c r="G89" s="1"/>
      <c r="H89" s="1"/>
      <c r="I89" s="1"/>
      <c r="J89" s="1"/>
      <c r="K89" s="1"/>
      <c r="L89" s="1"/>
      <c r="M89" s="1"/>
      <c r="N89" s="1"/>
      <c r="O89" s="1"/>
    </row>
    <row r="90" ht="15.75" customHeight="1">
      <c r="B90" s="1"/>
      <c r="C90" s="1"/>
      <c r="D90" s="1"/>
      <c r="E90" s="1"/>
      <c r="F90" s="1"/>
      <c r="G90" s="1"/>
      <c r="H90" s="1"/>
      <c r="I90" s="1"/>
      <c r="J90" s="1"/>
      <c r="K90" s="1"/>
      <c r="L90" s="1"/>
      <c r="M90" s="1"/>
      <c r="N90" s="1"/>
      <c r="O90" s="1"/>
    </row>
    <row r="91" ht="15.75" customHeight="1">
      <c r="B91" s="1"/>
      <c r="C91" s="1"/>
      <c r="D91" s="1"/>
      <c r="E91" s="1"/>
      <c r="F91" s="1"/>
      <c r="G91" s="1"/>
      <c r="H91" s="1"/>
      <c r="I91" s="1"/>
      <c r="J91" s="1"/>
      <c r="K91" s="1"/>
      <c r="L91" s="1"/>
      <c r="M91" s="1"/>
      <c r="N91" s="1"/>
      <c r="O91" s="1"/>
    </row>
    <row r="92" ht="15.75" customHeight="1">
      <c r="B92" s="1"/>
      <c r="C92" s="1"/>
      <c r="D92" s="1"/>
      <c r="E92" s="1"/>
      <c r="F92" s="1"/>
      <c r="G92" s="1"/>
      <c r="H92" s="1"/>
      <c r="I92" s="1"/>
      <c r="J92" s="1"/>
      <c r="K92" s="1"/>
      <c r="L92" s="1"/>
      <c r="M92" s="1"/>
      <c r="N92" s="1"/>
      <c r="O92" s="1"/>
    </row>
    <row r="93" ht="15.75" customHeight="1">
      <c r="B93" s="1"/>
      <c r="C93" s="1"/>
      <c r="D93" s="1"/>
      <c r="E93" s="1"/>
      <c r="F93" s="1"/>
      <c r="G93" s="1"/>
      <c r="H93" s="1"/>
      <c r="I93" s="1"/>
      <c r="J93" s="1"/>
      <c r="K93" s="1"/>
      <c r="L93" s="1"/>
      <c r="M93" s="1"/>
      <c r="N93" s="1"/>
      <c r="O93" s="1"/>
    </row>
    <row r="94" ht="15.75" customHeight="1">
      <c r="B94" s="1"/>
      <c r="C94" s="1"/>
      <c r="D94" s="1"/>
      <c r="E94" s="1"/>
      <c r="F94" s="1"/>
      <c r="G94" s="1"/>
      <c r="H94" s="1"/>
      <c r="I94" s="1"/>
      <c r="J94" s="1"/>
      <c r="K94" s="1"/>
      <c r="L94" s="1"/>
      <c r="M94" s="1"/>
      <c r="N94" s="1"/>
      <c r="O94" s="1"/>
    </row>
    <row r="95" ht="15.75" customHeight="1">
      <c r="B95" s="1"/>
      <c r="C95" s="1"/>
      <c r="D95" s="1"/>
      <c r="E95" s="1"/>
      <c r="F95" s="1"/>
      <c r="G95" s="1"/>
      <c r="H95" s="1"/>
      <c r="I95" s="1"/>
      <c r="J95" s="1"/>
      <c r="K95" s="1"/>
      <c r="L95" s="1"/>
      <c r="M95" s="1"/>
      <c r="N95" s="1"/>
      <c r="O95" s="1"/>
    </row>
    <row r="96" ht="15.75" customHeight="1">
      <c r="B96" s="1"/>
      <c r="C96" s="1"/>
      <c r="D96" s="1"/>
      <c r="E96" s="1"/>
      <c r="F96" s="1"/>
      <c r="G96" s="1"/>
      <c r="H96" s="1"/>
      <c r="I96" s="1"/>
      <c r="J96" s="1"/>
      <c r="K96" s="1"/>
      <c r="L96" s="1"/>
      <c r="M96" s="1"/>
      <c r="N96" s="1"/>
      <c r="O96" s="1"/>
    </row>
    <row r="97" ht="15.75" customHeight="1">
      <c r="B97" s="1"/>
      <c r="C97" s="1"/>
      <c r="D97" s="1"/>
      <c r="E97" s="1"/>
      <c r="F97" s="1"/>
      <c r="G97" s="1"/>
      <c r="H97" s="1"/>
      <c r="I97" s="1"/>
      <c r="J97" s="1"/>
      <c r="K97" s="1"/>
      <c r="L97" s="1"/>
      <c r="M97" s="1"/>
      <c r="N97" s="1"/>
      <c r="O97" s="1"/>
    </row>
    <row r="98" ht="15.75" customHeight="1">
      <c r="B98" s="1"/>
      <c r="C98" s="1"/>
      <c r="D98" s="1"/>
      <c r="E98" s="1"/>
      <c r="F98" s="1"/>
      <c r="G98" s="1"/>
      <c r="H98" s="1"/>
      <c r="I98" s="1"/>
      <c r="J98" s="1"/>
      <c r="K98" s="1"/>
      <c r="L98" s="1"/>
      <c r="M98" s="1"/>
      <c r="N98" s="1"/>
      <c r="O98" s="1"/>
    </row>
    <row r="99" ht="15.75" customHeight="1">
      <c r="B99" s="1"/>
      <c r="C99" s="1"/>
      <c r="D99" s="1"/>
      <c r="E99" s="1"/>
      <c r="F99" s="1"/>
      <c r="G99" s="1"/>
      <c r="H99" s="1"/>
      <c r="I99" s="1"/>
      <c r="J99" s="1"/>
      <c r="K99" s="1"/>
      <c r="L99" s="1"/>
      <c r="M99" s="1"/>
      <c r="N99" s="1"/>
      <c r="O99" s="1"/>
    </row>
    <row r="100" ht="15.75" customHeight="1">
      <c r="B100" s="1"/>
      <c r="C100" s="1"/>
      <c r="D100" s="1"/>
      <c r="E100" s="1"/>
      <c r="F100" s="1"/>
      <c r="G100" s="1"/>
      <c r="H100" s="1"/>
      <c r="I100" s="1"/>
      <c r="J100" s="1"/>
      <c r="K100" s="1"/>
      <c r="L100" s="1"/>
      <c r="M100" s="1"/>
      <c r="N100" s="1"/>
      <c r="O100" s="1"/>
    </row>
    <row r="101" ht="15.75" customHeight="1">
      <c r="B101" s="1"/>
      <c r="C101" s="1"/>
      <c r="D101" s="1"/>
      <c r="E101" s="1"/>
      <c r="F101" s="1"/>
      <c r="G101" s="1"/>
      <c r="H101" s="1"/>
      <c r="I101" s="1"/>
      <c r="J101" s="1"/>
      <c r="K101" s="1"/>
      <c r="L101" s="1"/>
      <c r="M101" s="1"/>
      <c r="N101" s="1"/>
      <c r="O101" s="1"/>
    </row>
    <row r="102" ht="15.75" customHeight="1">
      <c r="B102" s="1"/>
      <c r="C102" s="1"/>
      <c r="D102" s="1"/>
      <c r="E102" s="1"/>
      <c r="F102" s="1"/>
      <c r="G102" s="1"/>
      <c r="H102" s="1"/>
      <c r="I102" s="1"/>
      <c r="J102" s="1"/>
      <c r="K102" s="1"/>
      <c r="L102" s="1"/>
      <c r="M102" s="1"/>
      <c r="N102" s="1"/>
      <c r="O102" s="1"/>
    </row>
    <row r="103" ht="15.75" customHeight="1">
      <c r="B103" s="1"/>
      <c r="C103" s="1"/>
      <c r="D103" s="1"/>
      <c r="E103" s="1"/>
      <c r="F103" s="1"/>
      <c r="G103" s="1"/>
      <c r="H103" s="1"/>
      <c r="I103" s="1"/>
      <c r="J103" s="1"/>
      <c r="K103" s="1"/>
      <c r="L103" s="1"/>
      <c r="M103" s="1"/>
      <c r="N103" s="1"/>
      <c r="O103" s="1"/>
    </row>
    <row r="104" ht="15.75" customHeight="1">
      <c r="B104" s="1"/>
      <c r="C104" s="1"/>
      <c r="D104" s="1"/>
      <c r="E104" s="1"/>
      <c r="F104" s="1"/>
      <c r="G104" s="1"/>
      <c r="H104" s="1"/>
      <c r="I104" s="1"/>
      <c r="J104" s="1"/>
      <c r="K104" s="1"/>
      <c r="L104" s="1"/>
      <c r="M104" s="1"/>
      <c r="N104" s="1"/>
      <c r="O104" s="1"/>
    </row>
    <row r="105" ht="15.75" customHeight="1">
      <c r="B105" s="1"/>
      <c r="C105" s="1"/>
      <c r="D105" s="1"/>
      <c r="E105" s="1"/>
      <c r="F105" s="1"/>
      <c r="G105" s="1"/>
      <c r="H105" s="1"/>
      <c r="I105" s="1"/>
      <c r="J105" s="1"/>
      <c r="K105" s="1"/>
      <c r="L105" s="1"/>
      <c r="M105" s="1"/>
      <c r="N105" s="1"/>
      <c r="O105" s="1"/>
    </row>
    <row r="106" ht="15.75" customHeight="1">
      <c r="B106" s="1"/>
      <c r="C106" s="1"/>
      <c r="D106" s="1"/>
      <c r="E106" s="1"/>
      <c r="F106" s="1"/>
      <c r="G106" s="1"/>
      <c r="H106" s="1"/>
      <c r="I106" s="1"/>
      <c r="J106" s="1"/>
      <c r="K106" s="1"/>
      <c r="L106" s="1"/>
      <c r="M106" s="1"/>
      <c r="N106" s="1"/>
      <c r="O106" s="1"/>
    </row>
    <row r="107" ht="15.75" customHeight="1">
      <c r="B107" s="1"/>
      <c r="C107" s="1"/>
      <c r="D107" s="1"/>
      <c r="E107" s="1"/>
      <c r="F107" s="1"/>
      <c r="G107" s="1"/>
      <c r="H107" s="1"/>
      <c r="I107" s="1"/>
      <c r="J107" s="1"/>
      <c r="K107" s="1"/>
      <c r="L107" s="1"/>
      <c r="M107" s="1"/>
      <c r="N107" s="1"/>
      <c r="O107" s="1"/>
    </row>
    <row r="108" ht="15.75" customHeight="1">
      <c r="B108" s="1"/>
      <c r="C108" s="1"/>
      <c r="D108" s="1"/>
      <c r="E108" s="1"/>
      <c r="F108" s="1"/>
      <c r="G108" s="1"/>
      <c r="H108" s="1"/>
      <c r="I108" s="1"/>
      <c r="J108" s="1"/>
      <c r="K108" s="1"/>
      <c r="L108" s="1"/>
      <c r="M108" s="1"/>
      <c r="N108" s="1"/>
      <c r="O108" s="1"/>
    </row>
    <row r="109" ht="15.75" customHeight="1">
      <c r="B109" s="1"/>
      <c r="C109" s="1"/>
      <c r="D109" s="1"/>
      <c r="E109" s="1"/>
      <c r="F109" s="1"/>
      <c r="G109" s="1"/>
      <c r="H109" s="1"/>
      <c r="I109" s="1"/>
      <c r="J109" s="1"/>
      <c r="K109" s="1"/>
      <c r="L109" s="1"/>
      <c r="M109" s="1"/>
      <c r="N109" s="1"/>
      <c r="O109" s="1"/>
    </row>
    <row r="110" ht="15.75" customHeight="1">
      <c r="B110" s="1"/>
      <c r="C110" s="1"/>
      <c r="D110" s="1"/>
      <c r="E110" s="1"/>
      <c r="F110" s="1"/>
      <c r="G110" s="1"/>
      <c r="H110" s="1"/>
      <c r="I110" s="1"/>
      <c r="J110" s="1"/>
      <c r="K110" s="1"/>
      <c r="L110" s="1"/>
      <c r="M110" s="1"/>
      <c r="N110" s="1"/>
      <c r="O110" s="1"/>
    </row>
    <row r="111" ht="15.75" customHeight="1">
      <c r="B111" s="1"/>
      <c r="C111" s="1"/>
      <c r="D111" s="1"/>
      <c r="E111" s="1"/>
      <c r="F111" s="1"/>
      <c r="G111" s="1"/>
      <c r="H111" s="1"/>
      <c r="I111" s="1"/>
      <c r="J111" s="1"/>
      <c r="K111" s="1"/>
      <c r="L111" s="1"/>
      <c r="M111" s="1"/>
      <c r="N111" s="1"/>
      <c r="O111" s="1"/>
    </row>
    <row r="112" ht="15.75" customHeight="1">
      <c r="B112" s="1"/>
      <c r="C112" s="1"/>
      <c r="D112" s="1"/>
      <c r="E112" s="1"/>
      <c r="F112" s="1"/>
      <c r="G112" s="1"/>
      <c r="H112" s="1"/>
      <c r="I112" s="1"/>
      <c r="J112" s="1"/>
      <c r="K112" s="1"/>
      <c r="L112" s="1"/>
      <c r="M112" s="1"/>
      <c r="N112" s="1"/>
      <c r="O112" s="1"/>
    </row>
    <row r="113" ht="15.75" customHeight="1">
      <c r="B113" s="1"/>
      <c r="C113" s="1"/>
      <c r="D113" s="1"/>
      <c r="E113" s="1"/>
      <c r="F113" s="1"/>
      <c r="G113" s="1"/>
      <c r="H113" s="1"/>
      <c r="I113" s="1"/>
      <c r="J113" s="1"/>
      <c r="K113" s="1"/>
      <c r="L113" s="1"/>
      <c r="M113" s="1"/>
      <c r="N113" s="1"/>
      <c r="O113" s="1"/>
    </row>
    <row r="114" ht="15.75" customHeight="1">
      <c r="B114" s="1"/>
      <c r="C114" s="1"/>
      <c r="D114" s="1"/>
      <c r="E114" s="1"/>
      <c r="F114" s="1"/>
      <c r="G114" s="1"/>
      <c r="H114" s="1"/>
      <c r="I114" s="1"/>
      <c r="J114" s="1"/>
      <c r="K114" s="1"/>
      <c r="L114" s="1"/>
      <c r="M114" s="1"/>
      <c r="N114" s="1"/>
      <c r="O114" s="1"/>
    </row>
    <row r="115" ht="15.75" customHeight="1">
      <c r="B115" s="1"/>
      <c r="C115" s="1"/>
      <c r="D115" s="1"/>
      <c r="E115" s="1"/>
      <c r="F115" s="1"/>
      <c r="G115" s="1"/>
      <c r="H115" s="1"/>
      <c r="I115" s="1"/>
      <c r="J115" s="1"/>
      <c r="K115" s="1"/>
      <c r="L115" s="1"/>
      <c r="M115" s="1"/>
      <c r="N115" s="1"/>
      <c r="O115" s="1"/>
    </row>
    <row r="116" ht="15.75" customHeight="1">
      <c r="B116" s="1"/>
      <c r="C116" s="1"/>
      <c r="D116" s="1"/>
      <c r="E116" s="1"/>
      <c r="F116" s="1"/>
      <c r="G116" s="1"/>
      <c r="H116" s="1"/>
      <c r="I116" s="1"/>
      <c r="J116" s="1"/>
      <c r="K116" s="1"/>
      <c r="L116" s="1"/>
      <c r="M116" s="1"/>
      <c r="N116" s="1"/>
      <c r="O116" s="1"/>
    </row>
    <row r="117" ht="15.75" customHeight="1">
      <c r="B117" s="1"/>
      <c r="C117" s="1"/>
      <c r="D117" s="1"/>
      <c r="E117" s="1"/>
      <c r="F117" s="1"/>
      <c r="G117" s="1"/>
      <c r="H117" s="1"/>
      <c r="I117" s="1"/>
      <c r="J117" s="1"/>
      <c r="K117" s="1"/>
      <c r="L117" s="1"/>
      <c r="M117" s="1"/>
      <c r="N117" s="1"/>
      <c r="O117" s="1"/>
    </row>
    <row r="118" ht="15.75" customHeight="1">
      <c r="B118" s="1"/>
      <c r="C118" s="1"/>
      <c r="D118" s="1"/>
      <c r="E118" s="1"/>
      <c r="F118" s="1"/>
      <c r="G118" s="1"/>
      <c r="H118" s="1"/>
      <c r="I118" s="1"/>
      <c r="J118" s="1"/>
      <c r="K118" s="1"/>
      <c r="L118" s="1"/>
      <c r="M118" s="1"/>
      <c r="N118" s="1"/>
      <c r="O118" s="1"/>
    </row>
    <row r="119" ht="15.75" customHeight="1">
      <c r="B119" s="1"/>
      <c r="C119" s="1"/>
      <c r="D119" s="1"/>
      <c r="E119" s="1"/>
      <c r="F119" s="1"/>
      <c r="G119" s="1"/>
      <c r="H119" s="1"/>
      <c r="I119" s="1"/>
      <c r="J119" s="1"/>
      <c r="K119" s="1"/>
      <c r="L119" s="1"/>
      <c r="M119" s="1"/>
      <c r="N119" s="1"/>
      <c r="O119" s="1"/>
    </row>
    <row r="120" ht="15.75" customHeight="1">
      <c r="B120" s="1"/>
      <c r="C120" s="1"/>
      <c r="D120" s="1"/>
      <c r="E120" s="1"/>
      <c r="F120" s="1"/>
      <c r="G120" s="1"/>
      <c r="H120" s="1"/>
      <c r="I120" s="1"/>
      <c r="J120" s="1"/>
      <c r="K120" s="1"/>
      <c r="L120" s="1"/>
      <c r="M120" s="1"/>
      <c r="N120" s="1"/>
      <c r="O120" s="1"/>
    </row>
    <row r="121" ht="15.75" customHeight="1">
      <c r="B121" s="1"/>
      <c r="C121" s="1"/>
      <c r="D121" s="1"/>
      <c r="E121" s="1"/>
      <c r="F121" s="1"/>
      <c r="G121" s="1"/>
      <c r="H121" s="1"/>
      <c r="I121" s="1"/>
      <c r="J121" s="1"/>
      <c r="K121" s="1"/>
      <c r="L121" s="1"/>
      <c r="M121" s="1"/>
      <c r="N121" s="1"/>
      <c r="O121" s="1"/>
    </row>
    <row r="122" ht="15.75" customHeight="1">
      <c r="B122" s="1"/>
      <c r="C122" s="1"/>
      <c r="D122" s="1"/>
      <c r="E122" s="1"/>
      <c r="F122" s="1"/>
      <c r="G122" s="1"/>
      <c r="H122" s="1"/>
      <c r="I122" s="1"/>
      <c r="J122" s="1"/>
      <c r="K122" s="1"/>
      <c r="L122" s="1"/>
      <c r="M122" s="1"/>
      <c r="N122" s="1"/>
      <c r="O122" s="1"/>
    </row>
    <row r="123" ht="15.75" customHeight="1">
      <c r="B123" s="1"/>
      <c r="C123" s="1"/>
      <c r="D123" s="1"/>
      <c r="E123" s="1"/>
      <c r="F123" s="1"/>
      <c r="G123" s="1"/>
      <c r="H123" s="1"/>
      <c r="I123" s="1"/>
      <c r="J123" s="1"/>
      <c r="K123" s="1"/>
      <c r="L123" s="1"/>
      <c r="M123" s="1"/>
      <c r="N123" s="1"/>
      <c r="O123" s="1"/>
    </row>
    <row r="124" ht="15.75" customHeight="1">
      <c r="B124" s="1"/>
      <c r="C124" s="1"/>
      <c r="D124" s="1"/>
      <c r="E124" s="1"/>
      <c r="F124" s="1"/>
      <c r="G124" s="1"/>
      <c r="H124" s="1"/>
      <c r="I124" s="1"/>
      <c r="J124" s="1"/>
      <c r="K124" s="1"/>
      <c r="L124" s="1"/>
      <c r="M124" s="1"/>
      <c r="N124" s="1"/>
      <c r="O124" s="1"/>
    </row>
    <row r="125" ht="15.75" customHeight="1">
      <c r="B125" s="1"/>
      <c r="C125" s="1"/>
      <c r="D125" s="1"/>
      <c r="E125" s="1"/>
      <c r="F125" s="1"/>
      <c r="G125" s="1"/>
      <c r="H125" s="1"/>
      <c r="I125" s="1"/>
      <c r="J125" s="1"/>
      <c r="K125" s="1"/>
      <c r="L125" s="1"/>
      <c r="M125" s="1"/>
      <c r="N125" s="1"/>
      <c r="O125" s="1"/>
    </row>
    <row r="126" ht="15.75" customHeight="1">
      <c r="B126" s="1"/>
      <c r="C126" s="1"/>
      <c r="D126" s="1"/>
      <c r="E126" s="1"/>
      <c r="F126" s="1"/>
      <c r="G126" s="1"/>
      <c r="H126" s="1"/>
      <c r="I126" s="1"/>
      <c r="J126" s="1"/>
      <c r="K126" s="1"/>
      <c r="L126" s="1"/>
      <c r="M126" s="1"/>
      <c r="N126" s="1"/>
      <c r="O126" s="1"/>
    </row>
    <row r="127" ht="15.75" customHeight="1">
      <c r="B127" s="1"/>
      <c r="C127" s="1"/>
      <c r="D127" s="1"/>
      <c r="E127" s="1"/>
      <c r="F127" s="1"/>
      <c r="G127" s="1"/>
      <c r="H127" s="1"/>
      <c r="I127" s="1"/>
      <c r="J127" s="1"/>
      <c r="K127" s="1"/>
      <c r="L127" s="1"/>
      <c r="M127" s="1"/>
      <c r="N127" s="1"/>
      <c r="O127" s="1"/>
    </row>
    <row r="128" ht="15.75" customHeight="1">
      <c r="B128" s="1"/>
      <c r="C128" s="1"/>
      <c r="D128" s="1"/>
      <c r="E128" s="1"/>
      <c r="F128" s="1"/>
      <c r="G128" s="1"/>
      <c r="H128" s="1"/>
      <c r="I128" s="1"/>
      <c r="J128" s="1"/>
      <c r="K128" s="1"/>
      <c r="L128" s="1"/>
      <c r="M128" s="1"/>
      <c r="N128" s="1"/>
      <c r="O128" s="1"/>
    </row>
    <row r="129" ht="15.75" customHeight="1">
      <c r="B129" s="1"/>
      <c r="C129" s="1"/>
      <c r="D129" s="1"/>
      <c r="E129" s="1"/>
      <c r="F129" s="1"/>
      <c r="G129" s="1"/>
      <c r="H129" s="1"/>
      <c r="I129" s="1"/>
      <c r="J129" s="1"/>
      <c r="K129" s="1"/>
      <c r="L129" s="1"/>
      <c r="M129" s="1"/>
      <c r="N129" s="1"/>
      <c r="O129" s="1"/>
    </row>
    <row r="130" ht="15.75" customHeight="1">
      <c r="B130" s="1"/>
      <c r="C130" s="1"/>
      <c r="D130" s="1"/>
      <c r="E130" s="1"/>
      <c r="F130" s="1"/>
      <c r="G130" s="1"/>
      <c r="H130" s="1"/>
      <c r="I130" s="1"/>
      <c r="J130" s="1"/>
      <c r="K130" s="1"/>
      <c r="L130" s="1"/>
      <c r="M130" s="1"/>
      <c r="N130" s="1"/>
      <c r="O130" s="1"/>
    </row>
    <row r="131" ht="15.75" customHeight="1">
      <c r="B131" s="1"/>
      <c r="C131" s="1"/>
      <c r="D131" s="1"/>
      <c r="E131" s="1"/>
      <c r="F131" s="1"/>
      <c r="G131" s="1"/>
      <c r="H131" s="1"/>
      <c r="I131" s="1"/>
      <c r="J131" s="1"/>
      <c r="K131" s="1"/>
      <c r="L131" s="1"/>
      <c r="M131" s="1"/>
      <c r="N131" s="1"/>
      <c r="O131" s="1"/>
    </row>
    <row r="132" ht="15.75" customHeight="1">
      <c r="B132" s="1"/>
      <c r="C132" s="1"/>
      <c r="D132" s="1"/>
      <c r="E132" s="1"/>
      <c r="F132" s="1"/>
      <c r="G132" s="1"/>
      <c r="H132" s="1"/>
      <c r="I132" s="1"/>
      <c r="J132" s="1"/>
      <c r="K132" s="1"/>
      <c r="L132" s="1"/>
      <c r="M132" s="1"/>
      <c r="N132" s="1"/>
      <c r="O132" s="1"/>
    </row>
    <row r="133" ht="15.75" customHeight="1">
      <c r="B133" s="1"/>
      <c r="C133" s="1"/>
      <c r="D133" s="1"/>
      <c r="E133" s="1"/>
      <c r="F133" s="1"/>
      <c r="G133" s="1"/>
      <c r="H133" s="1"/>
      <c r="I133" s="1"/>
      <c r="J133" s="1"/>
      <c r="K133" s="1"/>
      <c r="L133" s="1"/>
      <c r="M133" s="1"/>
      <c r="N133" s="1"/>
      <c r="O133" s="1"/>
    </row>
    <row r="134" ht="15.75" customHeight="1">
      <c r="B134" s="1"/>
      <c r="C134" s="1"/>
      <c r="D134" s="1"/>
      <c r="E134" s="1"/>
      <c r="F134" s="1"/>
      <c r="G134" s="1"/>
      <c r="H134" s="1"/>
      <c r="I134" s="1"/>
      <c r="J134" s="1"/>
      <c r="K134" s="1"/>
      <c r="L134" s="1"/>
      <c r="M134" s="1"/>
      <c r="N134" s="1"/>
      <c r="O134" s="1"/>
    </row>
    <row r="135" ht="15.75" customHeight="1">
      <c r="B135" s="1"/>
      <c r="C135" s="1"/>
      <c r="D135" s="1"/>
      <c r="E135" s="1"/>
      <c r="F135" s="1"/>
      <c r="G135" s="1"/>
      <c r="H135" s="1"/>
      <c r="I135" s="1"/>
      <c r="J135" s="1"/>
      <c r="K135" s="1"/>
      <c r="L135" s="1"/>
      <c r="M135" s="1"/>
      <c r="N135" s="1"/>
      <c r="O135" s="1"/>
    </row>
    <row r="136" ht="15.75" customHeight="1">
      <c r="B136" s="1"/>
      <c r="C136" s="1"/>
      <c r="D136" s="1"/>
      <c r="E136" s="1"/>
      <c r="F136" s="1"/>
      <c r="G136" s="1"/>
      <c r="H136" s="1"/>
      <c r="I136" s="1"/>
      <c r="J136" s="1"/>
      <c r="K136" s="1"/>
      <c r="L136" s="1"/>
      <c r="M136" s="1"/>
      <c r="N136" s="1"/>
      <c r="O136" s="1"/>
    </row>
    <row r="137" ht="15.75" customHeight="1">
      <c r="B137" s="1"/>
      <c r="C137" s="1"/>
      <c r="D137" s="1"/>
      <c r="E137" s="1"/>
      <c r="F137" s="1"/>
      <c r="G137" s="1"/>
      <c r="H137" s="1"/>
      <c r="I137" s="1"/>
      <c r="J137" s="1"/>
      <c r="K137" s="1"/>
      <c r="L137" s="1"/>
      <c r="M137" s="1"/>
      <c r="N137" s="1"/>
      <c r="O137" s="1"/>
    </row>
    <row r="138" ht="15.75" customHeight="1">
      <c r="B138" s="1"/>
      <c r="C138" s="1"/>
      <c r="D138" s="1"/>
      <c r="E138" s="1"/>
      <c r="F138" s="1"/>
      <c r="G138" s="1"/>
      <c r="H138" s="1"/>
      <c r="I138" s="1"/>
      <c r="J138" s="1"/>
      <c r="K138" s="1"/>
      <c r="L138" s="1"/>
      <c r="M138" s="1"/>
      <c r="N138" s="1"/>
      <c r="O138" s="1"/>
    </row>
    <row r="139" ht="15.75" customHeight="1">
      <c r="B139" s="1"/>
      <c r="C139" s="1"/>
      <c r="D139" s="1"/>
      <c r="E139" s="1"/>
      <c r="F139" s="1"/>
      <c r="G139" s="1"/>
      <c r="H139" s="1"/>
      <c r="I139" s="1"/>
      <c r="J139" s="1"/>
      <c r="K139" s="1"/>
      <c r="L139" s="1"/>
      <c r="M139" s="1"/>
      <c r="N139" s="1"/>
      <c r="O139" s="1"/>
    </row>
    <row r="140" ht="15.75" customHeight="1">
      <c r="B140" s="1"/>
      <c r="C140" s="1"/>
      <c r="D140" s="1"/>
      <c r="E140" s="1"/>
      <c r="F140" s="1"/>
      <c r="G140" s="1"/>
      <c r="H140" s="1"/>
      <c r="I140" s="1"/>
      <c r="J140" s="1"/>
      <c r="K140" s="1"/>
      <c r="L140" s="1"/>
      <c r="M140" s="1"/>
      <c r="N140" s="1"/>
      <c r="O140" s="1"/>
    </row>
    <row r="141" ht="15.75" customHeight="1">
      <c r="B141" s="1"/>
      <c r="C141" s="1"/>
      <c r="D141" s="1"/>
      <c r="E141" s="1"/>
      <c r="F141" s="1"/>
      <c r="G141" s="1"/>
      <c r="H141" s="1"/>
      <c r="I141" s="1"/>
      <c r="J141" s="1"/>
      <c r="K141" s="1"/>
      <c r="L141" s="1"/>
      <c r="M141" s="1"/>
      <c r="N141" s="1"/>
      <c r="O141" s="1"/>
    </row>
    <row r="142" ht="15.75" customHeight="1">
      <c r="B142" s="1"/>
      <c r="C142" s="1"/>
      <c r="D142" s="1"/>
      <c r="E142" s="1"/>
      <c r="F142" s="1"/>
      <c r="G142" s="1"/>
      <c r="H142" s="1"/>
      <c r="I142" s="1"/>
      <c r="J142" s="1"/>
      <c r="K142" s="1"/>
      <c r="L142" s="1"/>
      <c r="M142" s="1"/>
      <c r="N142" s="1"/>
      <c r="O142" s="1"/>
    </row>
    <row r="143" ht="15.75" customHeight="1">
      <c r="B143" s="1"/>
      <c r="C143" s="1"/>
      <c r="D143" s="1"/>
      <c r="E143" s="1"/>
      <c r="F143" s="1"/>
      <c r="G143" s="1"/>
      <c r="H143" s="1"/>
      <c r="I143" s="1"/>
      <c r="J143" s="1"/>
      <c r="K143" s="1"/>
      <c r="L143" s="1"/>
      <c r="M143" s="1"/>
      <c r="N143" s="1"/>
      <c r="O143" s="1"/>
    </row>
    <row r="144" ht="15.75" customHeight="1">
      <c r="B144" s="1"/>
      <c r="C144" s="1"/>
      <c r="D144" s="1"/>
      <c r="E144" s="1"/>
      <c r="F144" s="1"/>
      <c r="G144" s="1"/>
      <c r="H144" s="1"/>
      <c r="I144" s="1"/>
      <c r="J144" s="1"/>
      <c r="K144" s="1"/>
      <c r="L144" s="1"/>
      <c r="M144" s="1"/>
      <c r="N144" s="1"/>
      <c r="O144" s="1"/>
    </row>
    <row r="145" ht="15.75" customHeight="1">
      <c r="B145" s="1"/>
      <c r="C145" s="1"/>
      <c r="D145" s="1"/>
      <c r="E145" s="1"/>
      <c r="F145" s="1"/>
      <c r="G145" s="1"/>
      <c r="H145" s="1"/>
      <c r="I145" s="1"/>
      <c r="J145" s="1"/>
      <c r="K145" s="1"/>
      <c r="L145" s="1"/>
      <c r="M145" s="1"/>
      <c r="N145" s="1"/>
      <c r="O145" s="1"/>
    </row>
    <row r="146" ht="15.75" customHeight="1">
      <c r="B146" s="1"/>
      <c r="C146" s="1"/>
      <c r="D146" s="1"/>
      <c r="E146" s="1"/>
      <c r="F146" s="1"/>
      <c r="G146" s="1"/>
      <c r="H146" s="1"/>
      <c r="I146" s="1"/>
      <c r="J146" s="1"/>
      <c r="K146" s="1"/>
      <c r="L146" s="1"/>
      <c r="M146" s="1"/>
      <c r="N146" s="1"/>
      <c r="O146" s="1"/>
    </row>
    <row r="147" ht="15.75" customHeight="1">
      <c r="B147" s="1"/>
      <c r="C147" s="1"/>
      <c r="D147" s="1"/>
      <c r="E147" s="1"/>
      <c r="F147" s="1"/>
      <c r="G147" s="1"/>
      <c r="H147" s="1"/>
      <c r="I147" s="1"/>
      <c r="J147" s="1"/>
      <c r="K147" s="1"/>
      <c r="L147" s="1"/>
      <c r="M147" s="1"/>
      <c r="N147" s="1"/>
      <c r="O147" s="1"/>
    </row>
    <row r="148" ht="15.75" customHeight="1">
      <c r="B148" s="1"/>
      <c r="C148" s="1"/>
      <c r="D148" s="1"/>
      <c r="E148" s="1"/>
      <c r="F148" s="1"/>
      <c r="G148" s="1"/>
      <c r="H148" s="1"/>
      <c r="I148" s="1"/>
      <c r="J148" s="1"/>
      <c r="K148" s="1"/>
      <c r="L148" s="1"/>
      <c r="M148" s="1"/>
      <c r="N148" s="1"/>
      <c r="O148" s="1"/>
    </row>
    <row r="149" ht="15.75" customHeight="1">
      <c r="B149" s="1"/>
      <c r="C149" s="1"/>
      <c r="D149" s="1"/>
      <c r="E149" s="1"/>
      <c r="F149" s="1"/>
      <c r="G149" s="1"/>
      <c r="H149" s="1"/>
      <c r="I149" s="1"/>
      <c r="J149" s="1"/>
      <c r="K149" s="1"/>
      <c r="L149" s="1"/>
      <c r="M149" s="1"/>
      <c r="N149" s="1"/>
      <c r="O149" s="1"/>
    </row>
    <row r="150" ht="15.75" customHeight="1">
      <c r="B150" s="1"/>
      <c r="C150" s="1"/>
      <c r="D150" s="1"/>
      <c r="E150" s="1"/>
      <c r="F150" s="1"/>
      <c r="G150" s="1"/>
      <c r="H150" s="1"/>
      <c r="I150" s="1"/>
      <c r="J150" s="1"/>
      <c r="K150" s="1"/>
      <c r="L150" s="1"/>
      <c r="M150" s="1"/>
      <c r="N150" s="1"/>
      <c r="O150" s="1"/>
    </row>
    <row r="151" ht="15.75" customHeight="1">
      <c r="B151" s="1"/>
      <c r="C151" s="1"/>
      <c r="D151" s="1"/>
      <c r="E151" s="1"/>
      <c r="F151" s="1"/>
      <c r="G151" s="1"/>
      <c r="H151" s="1"/>
      <c r="I151" s="1"/>
      <c r="J151" s="1"/>
      <c r="K151" s="1"/>
      <c r="L151" s="1"/>
      <c r="M151" s="1"/>
      <c r="N151" s="1"/>
      <c r="O151" s="1"/>
    </row>
    <row r="152" ht="15.75" customHeight="1">
      <c r="B152" s="1"/>
      <c r="C152" s="1"/>
      <c r="D152" s="1"/>
      <c r="E152" s="1"/>
      <c r="F152" s="1"/>
      <c r="G152" s="1"/>
      <c r="H152" s="1"/>
      <c r="I152" s="1"/>
      <c r="J152" s="1"/>
      <c r="K152" s="1"/>
      <c r="L152" s="1"/>
      <c r="M152" s="1"/>
      <c r="N152" s="1"/>
      <c r="O152" s="1"/>
    </row>
    <row r="153" ht="15.75" customHeight="1">
      <c r="B153" s="1"/>
      <c r="C153" s="1"/>
      <c r="D153" s="1"/>
      <c r="E153" s="1"/>
      <c r="F153" s="1"/>
      <c r="G153" s="1"/>
      <c r="H153" s="1"/>
      <c r="I153" s="1"/>
      <c r="J153" s="1"/>
      <c r="K153" s="1"/>
      <c r="L153" s="1"/>
      <c r="M153" s="1"/>
      <c r="N153" s="1"/>
      <c r="O153" s="1"/>
    </row>
    <row r="154" ht="15.75" customHeight="1">
      <c r="B154" s="1"/>
      <c r="C154" s="1"/>
      <c r="D154" s="1"/>
      <c r="E154" s="1"/>
      <c r="F154" s="1"/>
      <c r="G154" s="1"/>
      <c r="H154" s="1"/>
      <c r="I154" s="1"/>
      <c r="J154" s="1"/>
      <c r="K154" s="1"/>
      <c r="L154" s="1"/>
      <c r="M154" s="1"/>
      <c r="N154" s="1"/>
      <c r="O154" s="1"/>
    </row>
    <row r="155" ht="15.75" customHeight="1">
      <c r="B155" s="1"/>
      <c r="C155" s="1"/>
      <c r="D155" s="1"/>
      <c r="E155" s="1"/>
      <c r="F155" s="1"/>
      <c r="G155" s="1"/>
      <c r="H155" s="1"/>
      <c r="I155" s="1"/>
      <c r="J155" s="1"/>
      <c r="K155" s="1"/>
      <c r="L155" s="1"/>
      <c r="M155" s="1"/>
      <c r="N155" s="1"/>
      <c r="O155" s="1"/>
    </row>
    <row r="156" ht="15.75" customHeight="1">
      <c r="B156" s="1"/>
      <c r="C156" s="1"/>
      <c r="D156" s="1"/>
      <c r="E156" s="1"/>
      <c r="F156" s="1"/>
      <c r="G156" s="1"/>
      <c r="H156" s="1"/>
      <c r="I156" s="1"/>
      <c r="J156" s="1"/>
      <c r="K156" s="1"/>
      <c r="L156" s="1"/>
      <c r="M156" s="1"/>
      <c r="N156" s="1"/>
      <c r="O156" s="1"/>
    </row>
    <row r="157" ht="15.75" customHeight="1">
      <c r="B157" s="1"/>
      <c r="C157" s="1"/>
      <c r="D157" s="1"/>
      <c r="E157" s="1"/>
      <c r="F157" s="1"/>
      <c r="G157" s="1"/>
      <c r="H157" s="1"/>
      <c r="I157" s="1"/>
      <c r="J157" s="1"/>
      <c r="K157" s="1"/>
      <c r="L157" s="1"/>
      <c r="M157" s="1"/>
      <c r="N157" s="1"/>
      <c r="O157" s="1"/>
    </row>
    <row r="158" ht="15.75" customHeight="1">
      <c r="B158" s="1"/>
      <c r="C158" s="1"/>
      <c r="D158" s="1"/>
      <c r="E158" s="1"/>
      <c r="F158" s="1"/>
      <c r="G158" s="1"/>
      <c r="H158" s="1"/>
      <c r="I158" s="1"/>
      <c r="J158" s="1"/>
      <c r="K158" s="1"/>
      <c r="L158" s="1"/>
      <c r="M158" s="1"/>
      <c r="N158" s="1"/>
      <c r="O158" s="1"/>
    </row>
    <row r="159" ht="15.75" customHeight="1">
      <c r="B159" s="1"/>
      <c r="C159" s="1"/>
      <c r="D159" s="1"/>
      <c r="E159" s="1"/>
      <c r="F159" s="1"/>
      <c r="G159" s="1"/>
      <c r="H159" s="1"/>
      <c r="I159" s="1"/>
      <c r="J159" s="1"/>
      <c r="K159" s="1"/>
      <c r="L159" s="1"/>
      <c r="M159" s="1"/>
      <c r="N159" s="1"/>
      <c r="O159" s="1"/>
    </row>
    <row r="160" ht="15.75" customHeight="1">
      <c r="B160" s="1"/>
      <c r="C160" s="1"/>
      <c r="D160" s="1"/>
      <c r="E160" s="1"/>
      <c r="F160" s="1"/>
      <c r="G160" s="1"/>
      <c r="H160" s="1"/>
      <c r="I160" s="1"/>
      <c r="J160" s="1"/>
      <c r="K160" s="1"/>
      <c r="L160" s="1"/>
      <c r="M160" s="1"/>
      <c r="N160" s="1"/>
      <c r="O160" s="1"/>
    </row>
    <row r="161" ht="15.75" customHeight="1">
      <c r="B161" s="1"/>
      <c r="C161" s="1"/>
      <c r="D161" s="1"/>
      <c r="E161" s="1"/>
      <c r="F161" s="1"/>
      <c r="G161" s="1"/>
      <c r="H161" s="1"/>
      <c r="I161" s="1"/>
      <c r="J161" s="1"/>
      <c r="K161" s="1"/>
      <c r="L161" s="1"/>
      <c r="M161" s="1"/>
      <c r="N161" s="1"/>
      <c r="O161" s="1"/>
    </row>
    <row r="162" ht="15.75" customHeight="1">
      <c r="B162" s="1"/>
      <c r="C162" s="1"/>
      <c r="D162" s="1"/>
      <c r="E162" s="1"/>
      <c r="F162" s="1"/>
      <c r="G162" s="1"/>
      <c r="H162" s="1"/>
      <c r="I162" s="1"/>
      <c r="J162" s="1"/>
      <c r="K162" s="1"/>
      <c r="L162" s="1"/>
      <c r="M162" s="1"/>
      <c r="N162" s="1"/>
      <c r="O162" s="1"/>
    </row>
    <row r="163" ht="15.75" customHeight="1">
      <c r="B163" s="1"/>
      <c r="C163" s="1"/>
      <c r="D163" s="1"/>
      <c r="E163" s="1"/>
      <c r="F163" s="1"/>
      <c r="G163" s="1"/>
      <c r="H163" s="1"/>
      <c r="I163" s="1"/>
      <c r="J163" s="1"/>
      <c r="K163" s="1"/>
      <c r="L163" s="1"/>
      <c r="M163" s="1"/>
      <c r="N163" s="1"/>
      <c r="O163" s="1"/>
    </row>
    <row r="164" ht="15.75" customHeight="1">
      <c r="B164" s="1"/>
      <c r="C164" s="1"/>
      <c r="D164" s="1"/>
      <c r="E164" s="1"/>
      <c r="F164" s="1"/>
      <c r="G164" s="1"/>
      <c r="H164" s="1"/>
      <c r="I164" s="1"/>
      <c r="J164" s="1"/>
      <c r="K164" s="1"/>
      <c r="L164" s="1"/>
      <c r="M164" s="1"/>
      <c r="N164" s="1"/>
      <c r="O164" s="1"/>
    </row>
    <row r="165" ht="15.75" customHeight="1">
      <c r="B165" s="1"/>
      <c r="C165" s="1"/>
      <c r="D165" s="1"/>
      <c r="E165" s="1"/>
      <c r="F165" s="1"/>
      <c r="G165" s="1"/>
      <c r="H165" s="1"/>
      <c r="I165" s="1"/>
      <c r="J165" s="1"/>
      <c r="K165" s="1"/>
      <c r="L165" s="1"/>
      <c r="M165" s="1"/>
      <c r="N165" s="1"/>
      <c r="O165" s="1"/>
    </row>
    <row r="166" ht="15.75" customHeight="1">
      <c r="B166" s="1"/>
      <c r="C166" s="1"/>
      <c r="D166" s="1"/>
      <c r="E166" s="1"/>
      <c r="F166" s="1"/>
      <c r="G166" s="1"/>
      <c r="H166" s="1"/>
      <c r="I166" s="1"/>
      <c r="J166" s="1"/>
      <c r="K166" s="1"/>
      <c r="L166" s="1"/>
      <c r="M166" s="1"/>
      <c r="N166" s="1"/>
      <c r="O166" s="1"/>
    </row>
    <row r="167" ht="15.75" customHeight="1">
      <c r="B167" s="1"/>
      <c r="C167" s="1"/>
      <c r="D167" s="1"/>
      <c r="E167" s="1"/>
      <c r="F167" s="1"/>
      <c r="G167" s="1"/>
      <c r="H167" s="1"/>
      <c r="I167" s="1"/>
      <c r="J167" s="1"/>
      <c r="K167" s="1"/>
      <c r="L167" s="1"/>
      <c r="M167" s="1"/>
      <c r="N167" s="1"/>
      <c r="O167" s="1"/>
    </row>
    <row r="168" ht="15.75" customHeight="1">
      <c r="B168" s="1"/>
      <c r="C168" s="1"/>
      <c r="D168" s="1"/>
      <c r="E168" s="1"/>
      <c r="F168" s="1"/>
      <c r="G168" s="1"/>
      <c r="H168" s="1"/>
      <c r="I168" s="1"/>
      <c r="J168" s="1"/>
      <c r="K168" s="1"/>
      <c r="L168" s="1"/>
      <c r="M168" s="1"/>
      <c r="N168" s="1"/>
      <c r="O168" s="1"/>
    </row>
    <row r="169" ht="15.75" customHeight="1">
      <c r="B169" s="1"/>
      <c r="C169" s="1"/>
      <c r="D169" s="1"/>
      <c r="E169" s="1"/>
      <c r="F169" s="1"/>
      <c r="G169" s="1"/>
      <c r="H169" s="1"/>
      <c r="I169" s="1"/>
      <c r="J169" s="1"/>
      <c r="K169" s="1"/>
      <c r="L169" s="1"/>
      <c r="M169" s="1"/>
      <c r="N169" s="1"/>
      <c r="O169" s="1"/>
    </row>
    <row r="170" ht="15.75" customHeight="1">
      <c r="B170" s="1"/>
      <c r="C170" s="1"/>
      <c r="D170" s="1"/>
      <c r="E170" s="1"/>
      <c r="F170" s="1"/>
      <c r="G170" s="1"/>
      <c r="H170" s="1"/>
      <c r="I170" s="1"/>
      <c r="J170" s="1"/>
      <c r="K170" s="1"/>
      <c r="L170" s="1"/>
      <c r="M170" s="1"/>
      <c r="N170" s="1"/>
      <c r="O170" s="1"/>
    </row>
    <row r="171" ht="15.75" customHeight="1">
      <c r="B171" s="1"/>
      <c r="C171" s="1"/>
      <c r="D171" s="1"/>
      <c r="E171" s="1"/>
      <c r="F171" s="1"/>
      <c r="G171" s="1"/>
      <c r="H171" s="1"/>
      <c r="I171" s="1"/>
      <c r="J171" s="1"/>
      <c r="K171" s="1"/>
      <c r="L171" s="1"/>
      <c r="M171" s="1"/>
      <c r="N171" s="1"/>
      <c r="O171" s="1"/>
    </row>
    <row r="172" ht="15.75" customHeight="1">
      <c r="B172" s="1"/>
      <c r="C172" s="1"/>
      <c r="D172" s="1"/>
      <c r="E172" s="1"/>
      <c r="F172" s="1"/>
      <c r="G172" s="1"/>
      <c r="H172" s="1"/>
      <c r="I172" s="1"/>
      <c r="J172" s="1"/>
      <c r="K172" s="1"/>
      <c r="L172" s="1"/>
      <c r="M172" s="1"/>
      <c r="N172" s="1"/>
      <c r="O172" s="1"/>
    </row>
    <row r="173" ht="15.75" customHeight="1">
      <c r="B173" s="1"/>
      <c r="C173" s="1"/>
      <c r="D173" s="1"/>
      <c r="E173" s="1"/>
      <c r="F173" s="1"/>
      <c r="G173" s="1"/>
      <c r="H173" s="1"/>
      <c r="I173" s="1"/>
      <c r="J173" s="1"/>
      <c r="K173" s="1"/>
      <c r="L173" s="1"/>
      <c r="M173" s="1"/>
      <c r="N173" s="1"/>
      <c r="O173" s="1"/>
    </row>
    <row r="174" ht="15.75" customHeight="1">
      <c r="B174" s="1"/>
      <c r="C174" s="1"/>
      <c r="D174" s="1"/>
      <c r="E174" s="1"/>
      <c r="F174" s="1"/>
      <c r="G174" s="1"/>
      <c r="H174" s="1"/>
      <c r="I174" s="1"/>
      <c r="J174" s="1"/>
      <c r="K174" s="1"/>
      <c r="L174" s="1"/>
      <c r="M174" s="1"/>
      <c r="N174" s="1"/>
      <c r="O174" s="1"/>
    </row>
    <row r="175" ht="15.75" customHeight="1">
      <c r="B175" s="1"/>
      <c r="C175" s="1"/>
      <c r="D175" s="1"/>
      <c r="E175" s="1"/>
      <c r="F175" s="1"/>
      <c r="G175" s="1"/>
      <c r="H175" s="1"/>
      <c r="I175" s="1"/>
      <c r="J175" s="1"/>
      <c r="K175" s="1"/>
      <c r="L175" s="1"/>
      <c r="M175" s="1"/>
      <c r="N175" s="1"/>
      <c r="O175" s="1"/>
    </row>
    <row r="176" ht="15.75" customHeight="1">
      <c r="B176" s="1"/>
      <c r="C176" s="1"/>
      <c r="D176" s="1"/>
      <c r="E176" s="1"/>
      <c r="F176" s="1"/>
      <c r="G176" s="1"/>
      <c r="H176" s="1"/>
      <c r="I176" s="1"/>
      <c r="J176" s="1"/>
      <c r="K176" s="1"/>
      <c r="L176" s="1"/>
      <c r="M176" s="1"/>
      <c r="N176" s="1"/>
      <c r="O176" s="1"/>
    </row>
    <row r="177" ht="15.75" customHeight="1">
      <c r="B177" s="1"/>
      <c r="C177" s="1"/>
      <c r="D177" s="1"/>
      <c r="E177" s="1"/>
      <c r="F177" s="1"/>
      <c r="G177" s="1"/>
      <c r="H177" s="1"/>
      <c r="I177" s="1"/>
      <c r="J177" s="1"/>
      <c r="K177" s="1"/>
      <c r="L177" s="1"/>
      <c r="M177" s="1"/>
      <c r="N177" s="1"/>
      <c r="O177" s="1"/>
    </row>
    <row r="178" ht="15.75" customHeight="1">
      <c r="B178" s="1"/>
      <c r="C178" s="1"/>
      <c r="D178" s="1"/>
      <c r="E178" s="1"/>
      <c r="F178" s="1"/>
      <c r="G178" s="1"/>
      <c r="H178" s="1"/>
      <c r="I178" s="1"/>
      <c r="J178" s="1"/>
      <c r="K178" s="1"/>
      <c r="L178" s="1"/>
      <c r="M178" s="1"/>
      <c r="N178" s="1"/>
      <c r="O178" s="1"/>
    </row>
    <row r="179" ht="15.75" customHeight="1">
      <c r="B179" s="1"/>
      <c r="C179" s="1"/>
      <c r="D179" s="1"/>
      <c r="E179" s="1"/>
      <c r="F179" s="1"/>
      <c r="G179" s="1"/>
      <c r="H179" s="1"/>
      <c r="I179" s="1"/>
      <c r="J179" s="1"/>
      <c r="K179" s="1"/>
      <c r="L179" s="1"/>
      <c r="M179" s="1"/>
      <c r="N179" s="1"/>
      <c r="O179" s="1"/>
    </row>
    <row r="180" ht="15.75" customHeight="1">
      <c r="B180" s="1"/>
      <c r="C180" s="1"/>
      <c r="D180" s="1"/>
      <c r="E180" s="1"/>
      <c r="F180" s="1"/>
      <c r="G180" s="1"/>
      <c r="H180" s="1"/>
      <c r="I180" s="1"/>
      <c r="J180" s="1"/>
      <c r="K180" s="1"/>
      <c r="L180" s="1"/>
      <c r="M180" s="1"/>
      <c r="N180" s="1"/>
      <c r="O180" s="1"/>
    </row>
    <row r="181" ht="15.75" customHeight="1">
      <c r="B181" s="1"/>
      <c r="C181" s="1"/>
      <c r="D181" s="1"/>
      <c r="E181" s="1"/>
      <c r="F181" s="1"/>
      <c r="G181" s="1"/>
      <c r="H181" s="1"/>
      <c r="I181" s="1"/>
      <c r="J181" s="1"/>
      <c r="K181" s="1"/>
      <c r="L181" s="1"/>
      <c r="M181" s="1"/>
      <c r="N181" s="1"/>
      <c r="O181" s="1"/>
    </row>
    <row r="182" ht="15.75" customHeight="1">
      <c r="B182" s="1"/>
      <c r="C182" s="1"/>
      <c r="D182" s="1"/>
      <c r="E182" s="1"/>
      <c r="F182" s="1"/>
      <c r="G182" s="1"/>
      <c r="H182" s="1"/>
      <c r="I182" s="1"/>
      <c r="J182" s="1"/>
      <c r="K182" s="1"/>
      <c r="L182" s="1"/>
      <c r="M182" s="1"/>
      <c r="N182" s="1"/>
      <c r="O182" s="1"/>
    </row>
    <row r="183" ht="15.75" customHeight="1">
      <c r="B183" s="1"/>
      <c r="C183" s="1"/>
      <c r="D183" s="1"/>
      <c r="E183" s="1"/>
      <c r="F183" s="1"/>
      <c r="G183" s="1"/>
      <c r="H183" s="1"/>
      <c r="I183" s="1"/>
      <c r="J183" s="1"/>
      <c r="K183" s="1"/>
      <c r="L183" s="1"/>
      <c r="M183" s="1"/>
      <c r="N183" s="1"/>
      <c r="O183" s="1"/>
    </row>
    <row r="184" ht="15.75" customHeight="1">
      <c r="B184" s="1"/>
      <c r="C184" s="1"/>
      <c r="D184" s="1"/>
      <c r="E184" s="1"/>
      <c r="F184" s="1"/>
      <c r="G184" s="1"/>
      <c r="H184" s="1"/>
      <c r="I184" s="1"/>
      <c r="J184" s="1"/>
      <c r="K184" s="1"/>
      <c r="L184" s="1"/>
      <c r="M184" s="1"/>
      <c r="N184" s="1"/>
      <c r="O184" s="1"/>
    </row>
    <row r="185" ht="15.75" customHeight="1">
      <c r="B185" s="1"/>
      <c r="C185" s="1"/>
      <c r="D185" s="1"/>
      <c r="E185" s="1"/>
      <c r="F185" s="1"/>
      <c r="G185" s="1"/>
      <c r="H185" s="1"/>
      <c r="I185" s="1"/>
      <c r="J185" s="1"/>
      <c r="K185" s="1"/>
      <c r="L185" s="1"/>
      <c r="M185" s="1"/>
      <c r="N185" s="1"/>
      <c r="O185" s="1"/>
    </row>
    <row r="186" ht="15.75" customHeight="1">
      <c r="B186" s="1"/>
      <c r="C186" s="1"/>
      <c r="D186" s="1"/>
      <c r="E186" s="1"/>
      <c r="F186" s="1"/>
      <c r="G186" s="1"/>
      <c r="H186" s="1"/>
      <c r="I186" s="1"/>
      <c r="J186" s="1"/>
      <c r="K186" s="1"/>
      <c r="L186" s="1"/>
      <c r="M186" s="1"/>
      <c r="N186" s="1"/>
      <c r="O186" s="1"/>
    </row>
    <row r="187" ht="15.75" customHeight="1">
      <c r="B187" s="1"/>
      <c r="C187" s="1"/>
      <c r="D187" s="1"/>
      <c r="E187" s="1"/>
      <c r="F187" s="1"/>
      <c r="G187" s="1"/>
      <c r="H187" s="1"/>
      <c r="I187" s="1"/>
      <c r="J187" s="1"/>
      <c r="K187" s="1"/>
      <c r="L187" s="1"/>
      <c r="M187" s="1"/>
      <c r="N187" s="1"/>
      <c r="O187" s="1"/>
    </row>
    <row r="188" ht="15.75" customHeight="1">
      <c r="B188" s="1"/>
      <c r="C188" s="1"/>
      <c r="D188" s="1"/>
      <c r="E188" s="1"/>
      <c r="F188" s="1"/>
      <c r="G188" s="1"/>
      <c r="H188" s="1"/>
      <c r="I188" s="1"/>
      <c r="J188" s="1"/>
      <c r="K188" s="1"/>
      <c r="L188" s="1"/>
      <c r="M188" s="1"/>
      <c r="N188" s="1"/>
      <c r="O188" s="1"/>
    </row>
    <row r="189" ht="15.75" customHeight="1">
      <c r="B189" s="1"/>
      <c r="C189" s="1"/>
      <c r="D189" s="1"/>
      <c r="E189" s="1"/>
      <c r="F189" s="1"/>
      <c r="G189" s="1"/>
      <c r="H189" s="1"/>
      <c r="I189" s="1"/>
      <c r="J189" s="1"/>
      <c r="K189" s="1"/>
      <c r="L189" s="1"/>
      <c r="M189" s="1"/>
      <c r="N189" s="1"/>
      <c r="O189" s="1"/>
    </row>
    <row r="190" ht="15.75" customHeight="1">
      <c r="B190" s="1"/>
      <c r="C190" s="1"/>
      <c r="D190" s="1"/>
      <c r="E190" s="1"/>
      <c r="F190" s="1"/>
      <c r="G190" s="1"/>
      <c r="H190" s="1"/>
      <c r="I190" s="1"/>
      <c r="J190" s="1"/>
      <c r="K190" s="1"/>
      <c r="L190" s="1"/>
      <c r="M190" s="1"/>
      <c r="N190" s="1"/>
      <c r="O190" s="1"/>
    </row>
    <row r="191" ht="15.75" customHeight="1">
      <c r="B191" s="1"/>
      <c r="C191" s="1"/>
      <c r="D191" s="1"/>
      <c r="E191" s="1"/>
      <c r="F191" s="1"/>
      <c r="G191" s="1"/>
      <c r="H191" s="1"/>
      <c r="I191" s="1"/>
      <c r="J191" s="1"/>
      <c r="K191" s="1"/>
      <c r="L191" s="1"/>
      <c r="M191" s="1"/>
      <c r="N191" s="1"/>
      <c r="O191" s="1"/>
    </row>
    <row r="192" ht="15.75" customHeight="1">
      <c r="B192" s="1"/>
      <c r="C192" s="1"/>
      <c r="D192" s="1"/>
      <c r="E192" s="1"/>
      <c r="F192" s="1"/>
      <c r="G192" s="1"/>
      <c r="H192" s="1"/>
      <c r="I192" s="1"/>
      <c r="J192" s="1"/>
      <c r="K192" s="1"/>
      <c r="L192" s="1"/>
      <c r="M192" s="1"/>
      <c r="N192" s="1"/>
      <c r="O192" s="1"/>
    </row>
    <row r="193" ht="15.75" customHeight="1">
      <c r="B193" s="1"/>
      <c r="C193" s="1"/>
      <c r="D193" s="1"/>
      <c r="E193" s="1"/>
      <c r="F193" s="1"/>
      <c r="G193" s="1"/>
      <c r="H193" s="1"/>
      <c r="I193" s="1"/>
      <c r="J193" s="1"/>
      <c r="K193" s="1"/>
      <c r="L193" s="1"/>
      <c r="M193" s="1"/>
      <c r="N193" s="1"/>
      <c r="O193" s="1"/>
    </row>
    <row r="194" ht="15.75" customHeight="1">
      <c r="B194" s="1"/>
      <c r="C194" s="1"/>
      <c r="D194" s="1"/>
      <c r="E194" s="1"/>
      <c r="F194" s="1"/>
      <c r="G194" s="1"/>
      <c r="H194" s="1"/>
      <c r="I194" s="1"/>
      <c r="J194" s="1"/>
      <c r="K194" s="1"/>
      <c r="L194" s="1"/>
      <c r="M194" s="1"/>
      <c r="N194" s="1"/>
      <c r="O194" s="1"/>
    </row>
    <row r="195" ht="15.75" customHeight="1">
      <c r="B195" s="1"/>
      <c r="C195" s="1"/>
      <c r="D195" s="1"/>
      <c r="E195" s="1"/>
      <c r="F195" s="1"/>
      <c r="G195" s="1"/>
      <c r="H195" s="1"/>
      <c r="I195" s="1"/>
      <c r="J195" s="1"/>
      <c r="K195" s="1"/>
      <c r="L195" s="1"/>
      <c r="M195" s="1"/>
      <c r="N195" s="1"/>
      <c r="O195" s="1"/>
    </row>
    <row r="196" ht="15.75" customHeight="1">
      <c r="B196" s="1"/>
      <c r="C196" s="1"/>
      <c r="D196" s="1"/>
      <c r="E196" s="1"/>
      <c r="F196" s="1"/>
      <c r="G196" s="1"/>
      <c r="H196" s="1"/>
      <c r="I196" s="1"/>
      <c r="J196" s="1"/>
      <c r="K196" s="1"/>
      <c r="L196" s="1"/>
      <c r="M196" s="1"/>
      <c r="N196" s="1"/>
      <c r="O196" s="1"/>
    </row>
    <row r="197" ht="15.75" customHeight="1">
      <c r="B197" s="1"/>
      <c r="C197" s="1"/>
      <c r="D197" s="1"/>
      <c r="E197" s="1"/>
      <c r="F197" s="1"/>
      <c r="G197" s="1"/>
      <c r="H197" s="1"/>
      <c r="I197" s="1"/>
      <c r="J197" s="1"/>
      <c r="K197" s="1"/>
      <c r="L197" s="1"/>
      <c r="M197" s="1"/>
      <c r="N197" s="1"/>
      <c r="O197" s="1"/>
    </row>
    <row r="198" ht="15.75" customHeight="1">
      <c r="B198" s="1"/>
      <c r="C198" s="1"/>
      <c r="D198" s="1"/>
      <c r="E198" s="1"/>
      <c r="F198" s="1"/>
      <c r="G198" s="1"/>
      <c r="H198" s="1"/>
      <c r="I198" s="1"/>
      <c r="J198" s="1"/>
      <c r="K198" s="1"/>
      <c r="L198" s="1"/>
      <c r="M198" s="1"/>
      <c r="N198" s="1"/>
      <c r="O198" s="1"/>
    </row>
    <row r="199" ht="15.75" customHeight="1">
      <c r="B199" s="1"/>
      <c r="C199" s="1"/>
      <c r="D199" s="1"/>
      <c r="E199" s="1"/>
      <c r="F199" s="1"/>
      <c r="G199" s="1"/>
      <c r="H199" s="1"/>
      <c r="I199" s="1"/>
      <c r="J199" s="1"/>
      <c r="K199" s="1"/>
      <c r="L199" s="1"/>
      <c r="M199" s="1"/>
      <c r="N199" s="1"/>
      <c r="O199" s="1"/>
    </row>
    <row r="200" ht="15.75" customHeight="1">
      <c r="B200" s="1"/>
      <c r="C200" s="1"/>
      <c r="D200" s="1"/>
      <c r="E200" s="1"/>
      <c r="F200" s="1"/>
      <c r="G200" s="1"/>
      <c r="H200" s="1"/>
      <c r="I200" s="1"/>
      <c r="J200" s="1"/>
      <c r="K200" s="1"/>
      <c r="L200" s="1"/>
      <c r="M200" s="1"/>
      <c r="N200" s="1"/>
      <c r="O200" s="1"/>
    </row>
    <row r="201" ht="15.75" customHeight="1">
      <c r="B201" s="1"/>
      <c r="C201" s="1"/>
      <c r="D201" s="1"/>
      <c r="E201" s="1"/>
      <c r="F201" s="1"/>
      <c r="G201" s="1"/>
      <c r="H201" s="1"/>
      <c r="I201" s="1"/>
      <c r="J201" s="1"/>
      <c r="K201" s="1"/>
      <c r="L201" s="1"/>
      <c r="M201" s="1"/>
      <c r="N201" s="1"/>
      <c r="O201" s="1"/>
    </row>
    <row r="202" ht="15.75" customHeight="1">
      <c r="B202" s="1"/>
      <c r="C202" s="1"/>
      <c r="D202" s="1"/>
      <c r="E202" s="1"/>
      <c r="F202" s="1"/>
      <c r="G202" s="1"/>
      <c r="H202" s="1"/>
      <c r="I202" s="1"/>
      <c r="J202" s="1"/>
      <c r="K202" s="1"/>
      <c r="L202" s="1"/>
      <c r="M202" s="1"/>
      <c r="N202" s="1"/>
      <c r="O202" s="1"/>
    </row>
    <row r="203" ht="15.75" customHeight="1">
      <c r="B203" s="1"/>
      <c r="C203" s="1"/>
      <c r="D203" s="1"/>
      <c r="E203" s="1"/>
      <c r="F203" s="1"/>
      <c r="G203" s="1"/>
      <c r="H203" s="1"/>
      <c r="I203" s="1"/>
      <c r="J203" s="1"/>
      <c r="K203" s="1"/>
      <c r="L203" s="1"/>
      <c r="M203" s="1"/>
      <c r="N203" s="1"/>
      <c r="O203" s="1"/>
    </row>
    <row r="204" ht="15.75" customHeight="1">
      <c r="B204" s="1"/>
      <c r="C204" s="1"/>
      <c r="D204" s="1"/>
      <c r="E204" s="1"/>
      <c r="F204" s="1"/>
      <c r="G204" s="1"/>
      <c r="H204" s="1"/>
      <c r="I204" s="1"/>
      <c r="J204" s="1"/>
      <c r="K204" s="1"/>
      <c r="L204" s="1"/>
      <c r="M204" s="1"/>
      <c r="N204" s="1"/>
      <c r="O204" s="1"/>
    </row>
    <row r="205" ht="15.75" customHeight="1">
      <c r="B205" s="1"/>
      <c r="C205" s="1"/>
      <c r="D205" s="1"/>
      <c r="E205" s="1"/>
      <c r="F205" s="1"/>
      <c r="G205" s="1"/>
      <c r="H205" s="1"/>
      <c r="I205" s="1"/>
      <c r="J205" s="1"/>
      <c r="K205" s="1"/>
      <c r="L205" s="1"/>
      <c r="M205" s="1"/>
      <c r="N205" s="1"/>
      <c r="O205" s="1"/>
    </row>
    <row r="206" ht="15.75" customHeight="1">
      <c r="B206" s="1"/>
      <c r="C206" s="1"/>
      <c r="D206" s="1"/>
      <c r="E206" s="1"/>
      <c r="F206" s="1"/>
      <c r="G206" s="1"/>
      <c r="H206" s="1"/>
      <c r="I206" s="1"/>
      <c r="J206" s="1"/>
      <c r="K206" s="1"/>
      <c r="L206" s="1"/>
      <c r="M206" s="1"/>
      <c r="N206" s="1"/>
      <c r="O206" s="1"/>
    </row>
    <row r="207" ht="15.75" customHeight="1">
      <c r="B207" s="1"/>
      <c r="C207" s="1"/>
      <c r="D207" s="1"/>
      <c r="E207" s="1"/>
      <c r="F207" s="1"/>
      <c r="G207" s="1"/>
      <c r="H207" s="1"/>
      <c r="I207" s="1"/>
      <c r="J207" s="1"/>
      <c r="K207" s="1"/>
      <c r="L207" s="1"/>
      <c r="M207" s="1"/>
      <c r="N207" s="1"/>
      <c r="O207" s="1"/>
    </row>
    <row r="208" ht="15.75" customHeight="1">
      <c r="B208" s="1"/>
      <c r="C208" s="1"/>
      <c r="D208" s="1"/>
      <c r="E208" s="1"/>
      <c r="F208" s="1"/>
      <c r="G208" s="1"/>
      <c r="H208" s="1"/>
      <c r="I208" s="1"/>
      <c r="J208" s="1"/>
      <c r="K208" s="1"/>
      <c r="L208" s="1"/>
      <c r="M208" s="1"/>
      <c r="N208" s="1"/>
      <c r="O208" s="1"/>
    </row>
    <row r="209" ht="15.75" customHeight="1">
      <c r="B209" s="1"/>
      <c r="C209" s="1"/>
      <c r="D209" s="1"/>
      <c r="E209" s="1"/>
      <c r="F209" s="1"/>
      <c r="G209" s="1"/>
      <c r="H209" s="1"/>
      <c r="I209" s="1"/>
      <c r="J209" s="1"/>
      <c r="K209" s="1"/>
      <c r="L209" s="1"/>
      <c r="M209" s="1"/>
      <c r="N209" s="1"/>
      <c r="O209" s="1"/>
    </row>
    <row r="210" ht="15.75" customHeight="1">
      <c r="B210" s="1"/>
      <c r="C210" s="1"/>
      <c r="D210" s="1"/>
      <c r="E210" s="1"/>
      <c r="F210" s="1"/>
      <c r="G210" s="1"/>
      <c r="H210" s="1"/>
      <c r="I210" s="1"/>
      <c r="J210" s="1"/>
      <c r="K210" s="1"/>
      <c r="L210" s="1"/>
      <c r="M210" s="1"/>
      <c r="N210" s="1"/>
      <c r="O210" s="1"/>
    </row>
    <row r="211" ht="15.75" customHeight="1">
      <c r="B211" s="1"/>
      <c r="C211" s="1"/>
      <c r="D211" s="1"/>
      <c r="E211" s="1"/>
      <c r="F211" s="1"/>
      <c r="G211" s="1"/>
      <c r="H211" s="1"/>
      <c r="I211" s="1"/>
      <c r="J211" s="1"/>
      <c r="K211" s="1"/>
      <c r="L211" s="1"/>
      <c r="M211" s="1"/>
      <c r="N211" s="1"/>
      <c r="O211" s="1"/>
    </row>
    <row r="212" ht="15.75" customHeight="1">
      <c r="B212" s="1"/>
      <c r="C212" s="1"/>
      <c r="D212" s="1"/>
      <c r="E212" s="1"/>
      <c r="F212" s="1"/>
      <c r="G212" s="1"/>
      <c r="H212" s="1"/>
      <c r="I212" s="1"/>
      <c r="J212" s="1"/>
      <c r="K212" s="1"/>
      <c r="L212" s="1"/>
      <c r="M212" s="1"/>
      <c r="N212" s="1"/>
      <c r="O212" s="1"/>
    </row>
    <row r="213" ht="15.75" customHeight="1">
      <c r="B213" s="1"/>
      <c r="C213" s="1"/>
      <c r="D213" s="1"/>
      <c r="E213" s="1"/>
      <c r="F213" s="1"/>
      <c r="G213" s="1"/>
      <c r="H213" s="1"/>
      <c r="I213" s="1"/>
      <c r="J213" s="1"/>
      <c r="K213" s="1"/>
      <c r="L213" s="1"/>
      <c r="M213" s="1"/>
      <c r="N213" s="1"/>
      <c r="O213" s="1"/>
    </row>
    <row r="214" ht="15.75" customHeight="1">
      <c r="B214" s="1"/>
      <c r="C214" s="1"/>
      <c r="D214" s="1"/>
      <c r="E214" s="1"/>
      <c r="F214" s="1"/>
      <c r="G214" s="1"/>
      <c r="H214" s="1"/>
      <c r="I214" s="1"/>
      <c r="J214" s="1"/>
      <c r="K214" s="1"/>
      <c r="L214" s="1"/>
      <c r="M214" s="1"/>
      <c r="N214" s="1"/>
      <c r="O214" s="1"/>
    </row>
    <row r="215" ht="15.75" customHeight="1">
      <c r="B215" s="1"/>
      <c r="C215" s="1"/>
      <c r="D215" s="1"/>
      <c r="E215" s="1"/>
      <c r="F215" s="1"/>
      <c r="G215" s="1"/>
      <c r="H215" s="1"/>
      <c r="I215" s="1"/>
      <c r="J215" s="1"/>
      <c r="K215" s="1"/>
      <c r="L215" s="1"/>
      <c r="M215" s="1"/>
      <c r="N215" s="1"/>
      <c r="O215" s="1"/>
    </row>
    <row r="216" ht="15.75" customHeight="1">
      <c r="B216" s="1"/>
      <c r="C216" s="1"/>
      <c r="D216" s="1"/>
      <c r="E216" s="1"/>
      <c r="F216" s="1"/>
      <c r="G216" s="1"/>
      <c r="H216" s="1"/>
      <c r="I216" s="1"/>
      <c r="J216" s="1"/>
      <c r="K216" s="1"/>
      <c r="L216" s="1"/>
      <c r="M216" s="1"/>
      <c r="N216" s="1"/>
      <c r="O216" s="1"/>
    </row>
    <row r="217" ht="15.75" customHeight="1">
      <c r="B217" s="1"/>
      <c r="C217" s="1"/>
      <c r="D217" s="1"/>
      <c r="E217" s="1"/>
      <c r="F217" s="1"/>
      <c r="G217" s="1"/>
      <c r="H217" s="1"/>
      <c r="I217" s="1"/>
      <c r="J217" s="1"/>
      <c r="K217" s="1"/>
      <c r="L217" s="1"/>
      <c r="M217" s="1"/>
      <c r="N217" s="1"/>
      <c r="O217" s="1"/>
    </row>
    <row r="218" ht="15.75" customHeight="1">
      <c r="B218" s="1"/>
      <c r="C218" s="1"/>
      <c r="D218" s="1"/>
      <c r="E218" s="1"/>
      <c r="F218" s="1"/>
      <c r="G218" s="1"/>
      <c r="H218" s="1"/>
      <c r="I218" s="1"/>
      <c r="J218" s="1"/>
      <c r="K218" s="1"/>
      <c r="L218" s="1"/>
      <c r="M218" s="1"/>
      <c r="N218" s="1"/>
      <c r="O218" s="1"/>
    </row>
    <row r="219" ht="15.75" customHeight="1">
      <c r="B219" s="1"/>
      <c r="C219" s="1"/>
      <c r="D219" s="1"/>
      <c r="E219" s="1"/>
      <c r="F219" s="1"/>
      <c r="G219" s="1"/>
      <c r="H219" s="1"/>
      <c r="I219" s="1"/>
      <c r="J219" s="1"/>
      <c r="K219" s="1"/>
      <c r="L219" s="1"/>
      <c r="M219" s="1"/>
      <c r="N219" s="1"/>
      <c r="O219" s="1"/>
    </row>
    <row r="220" ht="15.75" customHeight="1">
      <c r="B220" s="1"/>
      <c r="C220" s="1"/>
      <c r="D220" s="1"/>
      <c r="E220" s="1"/>
      <c r="F220" s="1"/>
      <c r="G220" s="1"/>
      <c r="H220" s="1"/>
      <c r="I220" s="1"/>
      <c r="J220" s="1"/>
      <c r="K220" s="1"/>
      <c r="L220" s="1"/>
      <c r="M220" s="1"/>
      <c r="N220" s="1"/>
      <c r="O220" s="1"/>
    </row>
    <row r="221" ht="15.75" customHeight="1">
      <c r="B221" s="1"/>
      <c r="C221" s="1"/>
      <c r="D221" s="1"/>
      <c r="E221" s="1"/>
      <c r="F221" s="1"/>
      <c r="G221" s="1"/>
      <c r="H221" s="1"/>
      <c r="I221" s="1"/>
      <c r="J221" s="1"/>
      <c r="K221" s="1"/>
      <c r="L221" s="1"/>
      <c r="M221" s="1"/>
      <c r="N221" s="1"/>
      <c r="O221" s="1"/>
    </row>
    <row r="222" ht="15.75" customHeight="1">
      <c r="B222" s="1"/>
      <c r="C222" s="1"/>
      <c r="D222" s="1"/>
      <c r="E222" s="1"/>
      <c r="F222" s="1"/>
      <c r="G222" s="1"/>
      <c r="H222" s="1"/>
      <c r="I222" s="1"/>
      <c r="J222" s="1"/>
      <c r="K222" s="1"/>
      <c r="L222" s="1"/>
      <c r="M222" s="1"/>
      <c r="N222" s="1"/>
      <c r="O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O1"/>
    <mergeCell ref="B2:O2"/>
    <mergeCell ref="J3:L3"/>
    <mergeCell ref="B5:O5"/>
    <mergeCell ref="B11:O11"/>
    <mergeCell ref="B17:O1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71"/>
    <col customWidth="1" min="2" max="2" width="6.0"/>
    <col customWidth="1" min="3" max="3" width="30.0"/>
    <col customWidth="1" min="4" max="4" width="14.0"/>
    <col customWidth="1" min="5" max="9" width="45.0"/>
    <col customWidth="1" min="10" max="12" width="12.0"/>
    <col customWidth="1" min="13" max="13" width="30.0"/>
    <col customWidth="1" min="14" max="15" width="20.0"/>
  </cols>
  <sheetData>
    <row r="1" ht="24.0" customHeight="1">
      <c r="B1" s="2" t="s">
        <v>0</v>
      </c>
      <c r="C1" s="3"/>
      <c r="D1" s="3"/>
      <c r="E1" s="3"/>
      <c r="F1" s="3"/>
      <c r="G1" s="3"/>
      <c r="H1" s="3"/>
      <c r="I1" s="3"/>
      <c r="J1" s="3"/>
      <c r="K1" s="3"/>
      <c r="L1" s="3"/>
      <c r="M1" s="3"/>
      <c r="N1" s="3"/>
      <c r="O1" s="5"/>
    </row>
    <row r="2" ht="15.75" customHeight="1">
      <c r="B2" s="6" t="s">
        <v>4</v>
      </c>
      <c r="C2" s="3"/>
      <c r="D2" s="3"/>
      <c r="E2" s="3"/>
      <c r="F2" s="3"/>
      <c r="G2" s="3"/>
      <c r="H2" s="3"/>
      <c r="I2" s="3"/>
      <c r="J2" s="3"/>
      <c r="K2" s="3"/>
      <c r="L2" s="3"/>
      <c r="M2" s="3"/>
      <c r="N2" s="3"/>
      <c r="O2" s="5"/>
    </row>
    <row r="3" ht="18.0" customHeight="1">
      <c r="B3" s="1"/>
      <c r="C3" s="1"/>
      <c r="D3" s="1"/>
      <c r="E3" s="1"/>
      <c r="F3" s="1"/>
      <c r="G3" s="1"/>
      <c r="H3" s="1"/>
      <c r="I3" s="1"/>
      <c r="J3" s="9" t="s">
        <v>9</v>
      </c>
      <c r="K3" s="3"/>
      <c r="L3" s="5"/>
      <c r="M3" s="1"/>
      <c r="N3" s="1"/>
      <c r="O3" s="1"/>
    </row>
    <row r="4" ht="39.75" customHeight="1">
      <c r="B4" s="10" t="s">
        <v>15</v>
      </c>
      <c r="C4" s="10" t="s">
        <v>18</v>
      </c>
      <c r="D4" s="10" t="s">
        <v>19</v>
      </c>
      <c r="E4" s="10" t="s">
        <v>20</v>
      </c>
      <c r="F4" s="10" t="s">
        <v>21</v>
      </c>
      <c r="G4" s="10" t="s">
        <v>22</v>
      </c>
      <c r="H4" s="10" t="s">
        <v>24</v>
      </c>
      <c r="I4" s="10" t="s">
        <v>26</v>
      </c>
      <c r="J4" s="10" t="s">
        <v>28</v>
      </c>
      <c r="K4" s="10" t="s">
        <v>30</v>
      </c>
      <c r="L4" s="10" t="s">
        <v>32</v>
      </c>
      <c r="M4" s="10" t="s">
        <v>33</v>
      </c>
      <c r="N4" s="10" t="s">
        <v>35</v>
      </c>
      <c r="O4" s="10" t="s">
        <v>37</v>
      </c>
    </row>
    <row r="5" ht="15.75" customHeight="1">
      <c r="B5" s="11" t="s">
        <v>39</v>
      </c>
      <c r="C5" s="13"/>
      <c r="D5" s="13"/>
      <c r="E5" s="13"/>
      <c r="F5" s="13"/>
      <c r="G5" s="13"/>
      <c r="H5" s="13"/>
      <c r="I5" s="13"/>
      <c r="J5" s="13"/>
      <c r="K5" s="13"/>
      <c r="L5" s="13"/>
      <c r="M5" s="13"/>
      <c r="N5" s="13"/>
      <c r="O5" s="15"/>
    </row>
    <row r="6" ht="60.0" customHeight="1">
      <c r="B6" s="17">
        <v>1.0</v>
      </c>
      <c r="C6" s="18" t="s">
        <v>47</v>
      </c>
      <c r="D6" s="19" t="s">
        <v>51</v>
      </c>
      <c r="E6" s="19" t="s">
        <v>53</v>
      </c>
      <c r="F6" s="19" t="s">
        <v>54</v>
      </c>
      <c r="G6" s="19" t="s">
        <v>55</v>
      </c>
      <c r="H6" s="19" t="s">
        <v>56</v>
      </c>
      <c r="I6" s="19" t="s">
        <v>58</v>
      </c>
      <c r="J6" s="19">
        <v>4.0</v>
      </c>
      <c r="K6" s="19">
        <v>4.0</v>
      </c>
      <c r="L6" s="19">
        <v>5.0</v>
      </c>
      <c r="M6" s="19"/>
      <c r="N6" s="19"/>
      <c r="O6" s="19"/>
    </row>
    <row r="7" ht="60.0" customHeight="1">
      <c r="B7" s="17">
        <v>2.0</v>
      </c>
      <c r="C7" s="18" t="s">
        <v>47</v>
      </c>
      <c r="D7" s="19" t="s">
        <v>60</v>
      </c>
      <c r="E7" s="19" t="s">
        <v>61</v>
      </c>
      <c r="F7" s="19" t="s">
        <v>62</v>
      </c>
      <c r="G7" s="19" t="s">
        <v>63</v>
      </c>
      <c r="H7" s="19" t="s">
        <v>64</v>
      </c>
      <c r="I7" s="19" t="s">
        <v>65</v>
      </c>
      <c r="J7" s="19">
        <v>5.0</v>
      </c>
      <c r="K7" s="19">
        <v>4.0</v>
      </c>
      <c r="L7" s="19">
        <v>4.0</v>
      </c>
      <c r="M7" s="19"/>
      <c r="N7" s="19"/>
      <c r="O7" s="19"/>
    </row>
    <row r="8" ht="60.0" customHeight="1">
      <c r="B8" s="17">
        <v>3.0</v>
      </c>
      <c r="C8" s="18" t="s">
        <v>47</v>
      </c>
      <c r="D8" s="19" t="s">
        <v>66</v>
      </c>
      <c r="E8" s="19" t="s">
        <v>61</v>
      </c>
      <c r="F8" s="19" t="s">
        <v>67</v>
      </c>
      <c r="G8" s="19" t="s">
        <v>68</v>
      </c>
      <c r="H8" s="19" t="s">
        <v>69</v>
      </c>
      <c r="I8" s="19" t="s">
        <v>70</v>
      </c>
      <c r="J8" s="19">
        <v>4.0</v>
      </c>
      <c r="K8" s="19">
        <v>4.0</v>
      </c>
      <c r="L8" s="19">
        <v>5.0</v>
      </c>
      <c r="M8" s="19"/>
      <c r="N8" s="19"/>
      <c r="O8" s="19"/>
    </row>
    <row r="9" ht="60.0" customHeight="1">
      <c r="B9" s="17">
        <v>4.0</v>
      </c>
      <c r="C9" s="18" t="s">
        <v>47</v>
      </c>
      <c r="D9" s="19" t="s">
        <v>71</v>
      </c>
      <c r="E9" s="19" t="s">
        <v>72</v>
      </c>
      <c r="F9" s="19" t="s">
        <v>73</v>
      </c>
      <c r="G9" s="19" t="s">
        <v>74</v>
      </c>
      <c r="H9" s="19" t="s">
        <v>75</v>
      </c>
      <c r="I9" s="19" t="s">
        <v>76</v>
      </c>
      <c r="J9" s="19">
        <v>5.0</v>
      </c>
      <c r="K9" s="19">
        <v>5.0</v>
      </c>
      <c r="L9" s="19">
        <v>5.0</v>
      </c>
      <c r="M9" s="19"/>
      <c r="N9" s="19"/>
      <c r="O9" s="19"/>
    </row>
    <row r="10" ht="60.0" customHeight="1">
      <c r="B10" s="17">
        <v>5.0</v>
      </c>
      <c r="C10" s="18" t="s">
        <v>47</v>
      </c>
      <c r="D10" s="19" t="s">
        <v>77</v>
      </c>
      <c r="E10" s="19" t="s">
        <v>78</v>
      </c>
      <c r="F10" s="19" t="s">
        <v>79</v>
      </c>
      <c r="G10" s="19" t="s">
        <v>81</v>
      </c>
      <c r="H10" s="19" t="s">
        <v>82</v>
      </c>
      <c r="I10" s="19" t="s">
        <v>83</v>
      </c>
      <c r="J10" s="19">
        <v>5.0</v>
      </c>
      <c r="K10" s="19">
        <v>4.0</v>
      </c>
      <c r="L10" s="19">
        <v>4.0</v>
      </c>
      <c r="M10" s="19"/>
      <c r="N10" s="19"/>
      <c r="O10" s="19"/>
    </row>
    <row r="11" ht="15.75" customHeight="1">
      <c r="B11" s="11" t="s">
        <v>84</v>
      </c>
      <c r="C11" s="13"/>
      <c r="D11" s="13"/>
      <c r="E11" s="13"/>
      <c r="F11" s="13"/>
      <c r="G11" s="13"/>
      <c r="H11" s="13"/>
      <c r="I11" s="13"/>
      <c r="J11" s="13"/>
      <c r="K11" s="13"/>
      <c r="L11" s="13"/>
      <c r="M11" s="13"/>
      <c r="N11" s="13"/>
      <c r="O11" s="15"/>
    </row>
    <row r="12" ht="60.0" customHeight="1">
      <c r="B12" s="17">
        <v>6.0</v>
      </c>
      <c r="C12" s="18" t="s">
        <v>85</v>
      </c>
      <c r="D12" s="19" t="s">
        <v>51</v>
      </c>
      <c r="E12" s="19" t="s">
        <v>61</v>
      </c>
      <c r="F12" s="19" t="s">
        <v>54</v>
      </c>
      <c r="G12" s="19" t="s">
        <v>55</v>
      </c>
      <c r="H12" s="19" t="s">
        <v>86</v>
      </c>
      <c r="I12" s="19" t="s">
        <v>87</v>
      </c>
      <c r="J12" s="19">
        <v>5.0</v>
      </c>
      <c r="K12" s="19">
        <v>5.0</v>
      </c>
      <c r="L12" s="19">
        <v>5.0</v>
      </c>
      <c r="M12" s="19"/>
      <c r="N12" s="19"/>
      <c r="O12" s="19"/>
    </row>
    <row r="13" ht="60.0" customHeight="1">
      <c r="B13" s="17">
        <v>7.0</v>
      </c>
      <c r="C13" s="18" t="s">
        <v>85</v>
      </c>
      <c r="D13" s="19" t="s">
        <v>60</v>
      </c>
      <c r="E13" s="19" t="s">
        <v>61</v>
      </c>
      <c r="F13" s="19" t="s">
        <v>62</v>
      </c>
      <c r="G13" s="19" t="s">
        <v>63</v>
      </c>
      <c r="H13" s="19" t="s">
        <v>88</v>
      </c>
      <c r="I13" s="19" t="s">
        <v>89</v>
      </c>
      <c r="J13" s="19">
        <v>5.0</v>
      </c>
      <c r="K13" s="19">
        <v>4.0</v>
      </c>
      <c r="L13" s="19">
        <v>4.0</v>
      </c>
      <c r="M13" s="19"/>
      <c r="N13" s="19"/>
      <c r="O13" s="19"/>
    </row>
    <row r="14" ht="60.0" customHeight="1">
      <c r="B14" s="17">
        <v>8.0</v>
      </c>
      <c r="C14" s="18" t="s">
        <v>85</v>
      </c>
      <c r="D14" s="19" t="s">
        <v>66</v>
      </c>
      <c r="E14" s="19" t="s">
        <v>90</v>
      </c>
      <c r="F14" s="19" t="s">
        <v>67</v>
      </c>
      <c r="G14" s="19" t="s">
        <v>68</v>
      </c>
      <c r="H14" s="19" t="s">
        <v>91</v>
      </c>
      <c r="I14" s="19" t="s">
        <v>92</v>
      </c>
      <c r="J14" s="19">
        <v>4.0</v>
      </c>
      <c r="K14" s="19">
        <v>4.0</v>
      </c>
      <c r="L14" s="19">
        <v>4.0</v>
      </c>
      <c r="M14" s="19"/>
      <c r="N14" s="19"/>
      <c r="O14" s="19"/>
    </row>
    <row r="15" ht="60.0" customHeight="1">
      <c r="B15" s="17">
        <v>9.0</v>
      </c>
      <c r="C15" s="18" t="s">
        <v>85</v>
      </c>
      <c r="D15" s="19" t="s">
        <v>71</v>
      </c>
      <c r="E15" s="19" t="s">
        <v>107</v>
      </c>
      <c r="F15" s="19" t="s">
        <v>73</v>
      </c>
      <c r="G15" s="19" t="s">
        <v>74</v>
      </c>
      <c r="H15" s="19" t="s">
        <v>94</v>
      </c>
      <c r="I15" s="19" t="s">
        <v>95</v>
      </c>
      <c r="J15" s="19">
        <v>4.0</v>
      </c>
      <c r="K15" s="19">
        <v>3.0</v>
      </c>
      <c r="L15" s="19">
        <v>3.0</v>
      </c>
      <c r="M15" s="19"/>
      <c r="N15" s="19"/>
      <c r="O15" s="19"/>
    </row>
    <row r="16" ht="60.0" customHeight="1">
      <c r="B16" s="17">
        <v>10.0</v>
      </c>
      <c r="C16" s="18" t="s">
        <v>85</v>
      </c>
      <c r="D16" s="19" t="s">
        <v>77</v>
      </c>
      <c r="E16" s="19" t="s">
        <v>53</v>
      </c>
      <c r="F16" s="19" t="s">
        <v>79</v>
      </c>
      <c r="G16" s="19" t="s">
        <v>81</v>
      </c>
      <c r="H16" s="19" t="s">
        <v>96</v>
      </c>
      <c r="I16" s="19" t="s">
        <v>97</v>
      </c>
      <c r="J16" s="19">
        <v>5.0</v>
      </c>
      <c r="K16" s="19">
        <v>5.0</v>
      </c>
      <c r="L16" s="19">
        <v>5.0</v>
      </c>
      <c r="M16" s="19"/>
      <c r="N16" s="19"/>
      <c r="O16" s="19"/>
    </row>
    <row r="17" ht="15.75" customHeight="1">
      <c r="B17" s="11" t="s">
        <v>98</v>
      </c>
      <c r="C17" s="13"/>
      <c r="D17" s="13"/>
      <c r="E17" s="13"/>
      <c r="F17" s="13"/>
      <c r="G17" s="13"/>
      <c r="H17" s="13"/>
      <c r="I17" s="13"/>
      <c r="J17" s="13"/>
      <c r="K17" s="13"/>
      <c r="L17" s="13"/>
      <c r="M17" s="13"/>
      <c r="N17" s="13"/>
      <c r="O17" s="15"/>
    </row>
    <row r="18" ht="60.0" customHeight="1">
      <c r="B18" s="17">
        <v>11.0</v>
      </c>
      <c r="C18" s="18" t="s">
        <v>99</v>
      </c>
      <c r="D18" s="19" t="s">
        <v>51</v>
      </c>
      <c r="E18" s="19" t="s">
        <v>72</v>
      </c>
      <c r="F18" s="19" t="s">
        <v>54</v>
      </c>
      <c r="G18" s="19" t="s">
        <v>55</v>
      </c>
      <c r="H18" s="19" t="s">
        <v>100</v>
      </c>
      <c r="I18" s="19" t="s">
        <v>101</v>
      </c>
      <c r="J18" s="19">
        <v>5.0</v>
      </c>
      <c r="K18" s="19">
        <v>5.0</v>
      </c>
      <c r="L18" s="19">
        <v>5.0</v>
      </c>
      <c r="M18" s="19"/>
      <c r="N18" s="19"/>
      <c r="O18" s="19"/>
    </row>
    <row r="19" ht="60.0" customHeight="1">
      <c r="B19" s="17">
        <v>12.0</v>
      </c>
      <c r="C19" s="18" t="s">
        <v>99</v>
      </c>
      <c r="D19" s="19" t="s">
        <v>60</v>
      </c>
      <c r="E19" s="19" t="s">
        <v>78</v>
      </c>
      <c r="F19" s="19" t="s">
        <v>62</v>
      </c>
      <c r="G19" s="19" t="s">
        <v>63</v>
      </c>
      <c r="H19" s="19" t="s">
        <v>102</v>
      </c>
      <c r="I19" s="19" t="s">
        <v>103</v>
      </c>
      <c r="J19" s="19">
        <v>5.0</v>
      </c>
      <c r="K19" s="19">
        <v>5.0</v>
      </c>
      <c r="L19" s="19">
        <v>5.0</v>
      </c>
      <c r="M19" s="19"/>
      <c r="N19" s="19"/>
      <c r="O19" s="19"/>
    </row>
    <row r="20" ht="60.0" customHeight="1">
      <c r="B20" s="17">
        <v>13.0</v>
      </c>
      <c r="C20" s="18" t="s">
        <v>99</v>
      </c>
      <c r="D20" s="19" t="s">
        <v>66</v>
      </c>
      <c r="E20" s="19" t="s">
        <v>90</v>
      </c>
      <c r="F20" s="19" t="s">
        <v>67</v>
      </c>
      <c r="G20" s="19" t="s">
        <v>68</v>
      </c>
      <c r="H20" s="19" t="s">
        <v>104</v>
      </c>
      <c r="I20" s="19" t="s">
        <v>105</v>
      </c>
      <c r="J20" s="19">
        <v>4.0</v>
      </c>
      <c r="K20" s="19">
        <v>4.0</v>
      </c>
      <c r="L20" s="19">
        <v>5.0</v>
      </c>
      <c r="M20" s="19"/>
      <c r="N20" s="19"/>
      <c r="O20" s="19"/>
    </row>
    <row r="21" ht="60.0" customHeight="1">
      <c r="B21" s="17">
        <v>14.0</v>
      </c>
      <c r="C21" s="18" t="s">
        <v>99</v>
      </c>
      <c r="D21" s="19" t="s">
        <v>71</v>
      </c>
      <c r="E21" s="19" t="s">
        <v>78</v>
      </c>
      <c r="F21" s="19" t="s">
        <v>73</v>
      </c>
      <c r="G21" s="19" t="s">
        <v>74</v>
      </c>
      <c r="H21" s="19" t="s">
        <v>109</v>
      </c>
      <c r="I21" s="19" t="s">
        <v>110</v>
      </c>
      <c r="J21" s="19">
        <v>5.0</v>
      </c>
      <c r="K21" s="19">
        <v>3.0</v>
      </c>
      <c r="L21" s="19">
        <v>5.0</v>
      </c>
      <c r="M21" s="19"/>
      <c r="N21" s="19"/>
      <c r="O21" s="19"/>
    </row>
    <row r="22" ht="60.0" customHeight="1">
      <c r="B22" s="17">
        <v>15.0</v>
      </c>
      <c r="C22" s="18" t="s">
        <v>99</v>
      </c>
      <c r="D22" s="19" t="s">
        <v>77</v>
      </c>
      <c r="E22" s="19" t="s">
        <v>78</v>
      </c>
      <c r="F22" s="19" t="s">
        <v>79</v>
      </c>
      <c r="G22" s="19" t="s">
        <v>81</v>
      </c>
      <c r="H22" s="19" t="s">
        <v>111</v>
      </c>
      <c r="I22" s="19" t="s">
        <v>112</v>
      </c>
      <c r="J22" s="19">
        <v>5.0</v>
      </c>
      <c r="K22" s="19">
        <v>5.0</v>
      </c>
      <c r="L22" s="19">
        <v>5.0</v>
      </c>
      <c r="M22" s="19"/>
      <c r="N22" s="19"/>
      <c r="O22" s="19"/>
    </row>
    <row r="23" ht="15.75" customHeight="1">
      <c r="B23" s="1"/>
      <c r="C23" s="1"/>
      <c r="D23" s="1"/>
      <c r="E23" s="1"/>
      <c r="F23" s="1"/>
      <c r="G23" s="1"/>
      <c r="H23" s="1"/>
      <c r="I23" s="1"/>
      <c r="J23" s="1"/>
      <c r="K23" s="1"/>
      <c r="L23" s="1"/>
      <c r="M23" s="1"/>
      <c r="N23" s="1"/>
      <c r="O23" s="1"/>
    </row>
    <row r="24" ht="15.75" customHeight="1">
      <c r="B24" s="1"/>
      <c r="C24" s="1"/>
      <c r="D24" s="1"/>
      <c r="E24" s="1"/>
      <c r="F24" s="1"/>
      <c r="G24" s="1"/>
      <c r="H24" s="1"/>
      <c r="I24" s="1"/>
      <c r="J24" s="1"/>
      <c r="K24" s="1"/>
      <c r="L24" s="1"/>
      <c r="M24" s="1"/>
      <c r="N24" s="1"/>
      <c r="O24" s="1"/>
    </row>
    <row r="25" ht="15.75" customHeight="1">
      <c r="B25" s="1"/>
      <c r="C25" s="1"/>
      <c r="D25" s="1"/>
      <c r="E25" s="1"/>
      <c r="F25" s="1"/>
      <c r="G25" s="1"/>
      <c r="H25" s="1"/>
      <c r="I25" s="1"/>
      <c r="J25" s="1"/>
      <c r="K25" s="1"/>
      <c r="L25" s="1"/>
      <c r="M25" s="1"/>
      <c r="N25" s="1"/>
      <c r="O25" s="1"/>
    </row>
    <row r="26" ht="15.75" customHeight="1">
      <c r="B26" s="1"/>
      <c r="C26" s="1"/>
      <c r="D26" s="1"/>
      <c r="E26" s="1"/>
      <c r="F26" s="1"/>
      <c r="G26" s="1"/>
      <c r="H26" s="1"/>
      <c r="I26" s="1"/>
      <c r="J26" s="1"/>
      <c r="K26" s="1"/>
      <c r="L26" s="1"/>
      <c r="M26" s="1"/>
      <c r="N26" s="1"/>
      <c r="O26" s="1"/>
    </row>
    <row r="27" ht="15.75" customHeight="1">
      <c r="B27" s="1"/>
      <c r="C27" s="1"/>
      <c r="D27" s="1"/>
      <c r="E27" s="1"/>
      <c r="F27" s="1"/>
      <c r="G27" s="1"/>
      <c r="H27" s="1"/>
      <c r="I27" s="1"/>
      <c r="J27" s="1"/>
      <c r="K27" s="1"/>
      <c r="L27" s="1"/>
      <c r="M27" s="1"/>
      <c r="N27" s="1"/>
      <c r="O27" s="1"/>
    </row>
    <row r="28" ht="15.75" customHeight="1">
      <c r="B28" s="1"/>
      <c r="C28" s="1"/>
      <c r="D28" s="1"/>
      <c r="E28" s="1"/>
      <c r="F28" s="1"/>
      <c r="G28" s="1"/>
      <c r="H28" s="1"/>
      <c r="I28" s="1"/>
      <c r="J28" s="1"/>
      <c r="K28" s="1"/>
      <c r="L28" s="1"/>
      <c r="M28" s="1"/>
      <c r="N28" s="1"/>
      <c r="O28" s="1"/>
    </row>
    <row r="29" ht="15.75" customHeight="1">
      <c r="B29" s="1"/>
      <c r="C29" s="1"/>
      <c r="D29" s="1"/>
      <c r="E29" s="1"/>
      <c r="F29" s="1"/>
      <c r="G29" s="1"/>
      <c r="H29" s="1"/>
      <c r="I29" s="1"/>
      <c r="J29" s="1"/>
      <c r="K29" s="1"/>
      <c r="L29" s="1"/>
      <c r="M29" s="1"/>
      <c r="N29" s="1"/>
      <c r="O29" s="1"/>
    </row>
    <row r="30" ht="15.75" customHeight="1">
      <c r="B30" s="1"/>
      <c r="C30" s="1"/>
      <c r="D30" s="1"/>
      <c r="E30" s="1"/>
      <c r="F30" s="1"/>
      <c r="G30" s="1"/>
      <c r="H30" s="1"/>
      <c r="I30" s="1"/>
      <c r="J30" s="1"/>
      <c r="K30" s="1"/>
      <c r="L30" s="1"/>
      <c r="M30" s="1"/>
      <c r="N30" s="1"/>
      <c r="O30" s="1"/>
    </row>
    <row r="31" ht="15.75" customHeight="1">
      <c r="B31" s="1"/>
      <c r="C31" s="1"/>
      <c r="D31" s="1"/>
      <c r="E31" s="1"/>
      <c r="F31" s="1"/>
      <c r="G31" s="1"/>
      <c r="H31" s="1"/>
      <c r="I31" s="1"/>
      <c r="J31" s="1"/>
      <c r="K31" s="1"/>
      <c r="L31" s="1"/>
      <c r="M31" s="1"/>
      <c r="N31" s="1"/>
      <c r="O31" s="1"/>
    </row>
    <row r="32" ht="15.75" customHeight="1">
      <c r="B32" s="1"/>
      <c r="C32" s="1"/>
      <c r="D32" s="1"/>
      <c r="E32" s="1"/>
      <c r="F32" s="1"/>
      <c r="G32" s="1"/>
      <c r="H32" s="1"/>
      <c r="I32" s="1"/>
      <c r="J32" s="1"/>
      <c r="K32" s="1"/>
      <c r="L32" s="1"/>
      <c r="M32" s="1"/>
      <c r="N32" s="1"/>
      <c r="O32" s="1"/>
    </row>
    <row r="33" ht="15.75" customHeight="1">
      <c r="B33" s="1"/>
      <c r="C33" s="1"/>
      <c r="D33" s="1"/>
      <c r="E33" s="1"/>
      <c r="F33" s="1"/>
      <c r="G33" s="1"/>
      <c r="H33" s="1"/>
      <c r="I33" s="1"/>
      <c r="J33" s="1"/>
      <c r="K33" s="1"/>
      <c r="L33" s="1"/>
      <c r="M33" s="1"/>
      <c r="N33" s="1"/>
      <c r="O33" s="1"/>
    </row>
    <row r="34" ht="15.75" customHeight="1">
      <c r="B34" s="1"/>
      <c r="C34" s="1"/>
      <c r="D34" s="1"/>
      <c r="E34" s="1"/>
      <c r="F34" s="1"/>
      <c r="G34" s="1"/>
      <c r="H34" s="1"/>
      <c r="I34" s="1"/>
      <c r="J34" s="1"/>
      <c r="K34" s="1"/>
      <c r="L34" s="1"/>
      <c r="M34" s="1"/>
      <c r="N34" s="1"/>
      <c r="O34" s="1"/>
    </row>
    <row r="35" ht="15.75" customHeight="1">
      <c r="B35" s="1"/>
      <c r="C35" s="1"/>
      <c r="D35" s="1"/>
      <c r="E35" s="1"/>
      <c r="F35" s="1"/>
      <c r="G35" s="1"/>
      <c r="H35" s="1"/>
      <c r="I35" s="1"/>
      <c r="J35" s="1"/>
      <c r="K35" s="1"/>
      <c r="L35" s="1"/>
      <c r="M35" s="1"/>
      <c r="N35" s="1"/>
      <c r="O35" s="1"/>
    </row>
    <row r="36" ht="15.75" customHeight="1">
      <c r="B36" s="1"/>
      <c r="C36" s="1"/>
      <c r="D36" s="1"/>
      <c r="E36" s="1"/>
      <c r="F36" s="1"/>
      <c r="G36" s="1"/>
      <c r="H36" s="1"/>
      <c r="I36" s="1"/>
      <c r="J36" s="1"/>
      <c r="K36" s="1"/>
      <c r="L36" s="1"/>
      <c r="M36" s="1"/>
      <c r="N36" s="1"/>
      <c r="O36" s="1"/>
    </row>
    <row r="37" ht="15.75" customHeight="1">
      <c r="B37" s="1"/>
      <c r="C37" s="1"/>
      <c r="D37" s="1"/>
      <c r="E37" s="1"/>
      <c r="F37" s="1"/>
      <c r="G37" s="1"/>
      <c r="H37" s="1"/>
      <c r="I37" s="1"/>
      <c r="J37" s="1"/>
      <c r="K37" s="1"/>
      <c r="L37" s="1"/>
      <c r="M37" s="1"/>
      <c r="N37" s="1"/>
      <c r="O37" s="1"/>
    </row>
    <row r="38" ht="15.75" customHeight="1">
      <c r="B38" s="1"/>
      <c r="C38" s="1"/>
      <c r="D38" s="1"/>
      <c r="E38" s="1"/>
      <c r="F38" s="1"/>
      <c r="G38" s="1"/>
      <c r="H38" s="1"/>
      <c r="I38" s="1"/>
      <c r="J38" s="1"/>
      <c r="K38" s="1"/>
      <c r="L38" s="1"/>
      <c r="M38" s="1"/>
      <c r="N38" s="1"/>
      <c r="O38" s="1"/>
    </row>
    <row r="39" ht="15.75" customHeight="1">
      <c r="B39" s="1"/>
      <c r="C39" s="1"/>
      <c r="D39" s="1"/>
      <c r="E39" s="1"/>
      <c r="F39" s="1"/>
      <c r="G39" s="1"/>
      <c r="H39" s="1"/>
      <c r="I39" s="1"/>
      <c r="J39" s="1"/>
      <c r="K39" s="1"/>
      <c r="L39" s="1"/>
      <c r="M39" s="1"/>
      <c r="N39" s="1"/>
      <c r="O39" s="1"/>
    </row>
    <row r="40" ht="15.75" customHeight="1">
      <c r="B40" s="1"/>
      <c r="C40" s="1"/>
      <c r="D40" s="1"/>
      <c r="E40" s="1"/>
      <c r="F40" s="1"/>
      <c r="G40" s="1"/>
      <c r="H40" s="1"/>
      <c r="I40" s="1"/>
      <c r="J40" s="1"/>
      <c r="K40" s="1"/>
      <c r="L40" s="1"/>
      <c r="M40" s="1"/>
      <c r="N40" s="1"/>
      <c r="O40" s="1"/>
    </row>
    <row r="41" ht="15.75" customHeight="1">
      <c r="B41" s="1"/>
      <c r="C41" s="1"/>
      <c r="D41" s="1"/>
      <c r="E41" s="1"/>
      <c r="F41" s="1"/>
      <c r="G41" s="1"/>
      <c r="H41" s="1"/>
      <c r="I41" s="1"/>
      <c r="J41" s="1"/>
      <c r="K41" s="1"/>
      <c r="L41" s="1"/>
      <c r="M41" s="1"/>
      <c r="N41" s="1"/>
      <c r="O41" s="1"/>
    </row>
    <row r="42" ht="15.75" customHeight="1">
      <c r="B42" s="1"/>
      <c r="C42" s="1"/>
      <c r="D42" s="1"/>
      <c r="E42" s="1"/>
      <c r="F42" s="1"/>
      <c r="G42" s="1"/>
      <c r="H42" s="1"/>
      <c r="I42" s="1"/>
      <c r="J42" s="1"/>
      <c r="K42" s="1"/>
      <c r="L42" s="1"/>
      <c r="M42" s="1"/>
      <c r="N42" s="1"/>
      <c r="O42" s="1"/>
    </row>
    <row r="43" ht="15.75" customHeight="1">
      <c r="B43" s="1"/>
      <c r="C43" s="1"/>
      <c r="D43" s="1"/>
      <c r="E43" s="1"/>
      <c r="F43" s="1"/>
      <c r="G43" s="1"/>
      <c r="H43" s="1"/>
      <c r="I43" s="1"/>
      <c r="J43" s="1"/>
      <c r="K43" s="1"/>
      <c r="L43" s="1"/>
      <c r="M43" s="1"/>
      <c r="N43" s="1"/>
      <c r="O43" s="1"/>
    </row>
    <row r="44" ht="15.75" customHeight="1">
      <c r="B44" s="1"/>
      <c r="C44" s="1"/>
      <c r="D44" s="1"/>
      <c r="E44" s="1"/>
      <c r="F44" s="1"/>
      <c r="G44" s="1"/>
      <c r="H44" s="1"/>
      <c r="I44" s="1"/>
      <c r="J44" s="1"/>
      <c r="K44" s="1"/>
      <c r="L44" s="1"/>
      <c r="M44" s="1"/>
      <c r="N44" s="1"/>
      <c r="O44" s="1"/>
    </row>
    <row r="45" ht="15.75" customHeight="1">
      <c r="B45" s="1"/>
      <c r="C45" s="1"/>
      <c r="D45" s="1"/>
      <c r="E45" s="1"/>
      <c r="F45" s="1"/>
      <c r="G45" s="1"/>
      <c r="H45" s="1"/>
      <c r="I45" s="1"/>
      <c r="J45" s="1"/>
      <c r="K45" s="1"/>
      <c r="L45" s="1"/>
      <c r="M45" s="1"/>
      <c r="N45" s="1"/>
      <c r="O45" s="1"/>
    </row>
    <row r="46" ht="15.75" customHeight="1">
      <c r="B46" s="1"/>
      <c r="C46" s="1"/>
      <c r="D46" s="1"/>
      <c r="E46" s="1"/>
      <c r="F46" s="1"/>
      <c r="G46" s="1"/>
      <c r="H46" s="1"/>
      <c r="I46" s="1"/>
      <c r="J46" s="1"/>
      <c r="K46" s="1"/>
      <c r="L46" s="1"/>
      <c r="M46" s="1"/>
      <c r="N46" s="1"/>
      <c r="O46" s="1"/>
    </row>
    <row r="47" ht="15.75" customHeight="1">
      <c r="B47" s="1"/>
      <c r="C47" s="1"/>
      <c r="D47" s="1"/>
      <c r="E47" s="1"/>
      <c r="F47" s="1"/>
      <c r="G47" s="1"/>
      <c r="H47" s="1"/>
      <c r="I47" s="1"/>
      <c r="J47" s="1"/>
      <c r="K47" s="1"/>
      <c r="L47" s="1"/>
      <c r="M47" s="1"/>
      <c r="N47" s="1"/>
      <c r="O47" s="1"/>
    </row>
    <row r="48" ht="15.75" customHeight="1">
      <c r="B48" s="1"/>
      <c r="C48" s="1"/>
      <c r="D48" s="1"/>
      <c r="E48" s="1"/>
      <c r="F48" s="1"/>
      <c r="G48" s="1"/>
      <c r="H48" s="1"/>
      <c r="I48" s="1"/>
      <c r="J48" s="1"/>
      <c r="K48" s="1"/>
      <c r="L48" s="1"/>
      <c r="M48" s="1"/>
      <c r="N48" s="1"/>
      <c r="O48" s="1"/>
    </row>
    <row r="49" ht="15.75" customHeight="1">
      <c r="B49" s="1"/>
      <c r="C49" s="1"/>
      <c r="D49" s="1"/>
      <c r="E49" s="1"/>
      <c r="F49" s="1"/>
      <c r="G49" s="1"/>
      <c r="H49" s="1"/>
      <c r="I49" s="1"/>
      <c r="J49" s="1"/>
      <c r="K49" s="1"/>
      <c r="L49" s="1"/>
      <c r="M49" s="1"/>
      <c r="N49" s="1"/>
      <c r="O49" s="1"/>
    </row>
    <row r="50" ht="15.75" customHeight="1">
      <c r="B50" s="1"/>
      <c r="C50" s="1"/>
      <c r="D50" s="1"/>
      <c r="E50" s="1"/>
      <c r="F50" s="1"/>
      <c r="G50" s="1"/>
      <c r="H50" s="1"/>
      <c r="I50" s="1"/>
      <c r="J50" s="1"/>
      <c r="K50" s="1"/>
      <c r="L50" s="1"/>
      <c r="M50" s="1"/>
      <c r="N50" s="1"/>
      <c r="O50" s="1"/>
    </row>
    <row r="51" ht="15.75" customHeight="1">
      <c r="B51" s="1"/>
      <c r="C51" s="1"/>
      <c r="D51" s="1"/>
      <c r="E51" s="1"/>
      <c r="F51" s="1"/>
      <c r="G51" s="1"/>
      <c r="H51" s="1"/>
      <c r="I51" s="1"/>
      <c r="J51" s="1"/>
      <c r="K51" s="1"/>
      <c r="L51" s="1"/>
      <c r="M51" s="1"/>
      <c r="N51" s="1"/>
      <c r="O51" s="1"/>
    </row>
    <row r="52" ht="15.75" customHeight="1">
      <c r="B52" s="1"/>
      <c r="C52" s="1"/>
      <c r="D52" s="1"/>
      <c r="E52" s="1"/>
      <c r="F52" s="1"/>
      <c r="G52" s="1"/>
      <c r="H52" s="1"/>
      <c r="I52" s="1"/>
      <c r="J52" s="1"/>
      <c r="K52" s="1"/>
      <c r="L52" s="1"/>
      <c r="M52" s="1"/>
      <c r="N52" s="1"/>
      <c r="O52" s="1"/>
    </row>
    <row r="53" ht="15.75" customHeight="1">
      <c r="B53" s="1"/>
      <c r="C53" s="1"/>
      <c r="D53" s="1"/>
      <c r="E53" s="1"/>
      <c r="F53" s="1"/>
      <c r="G53" s="1"/>
      <c r="H53" s="1"/>
      <c r="I53" s="1"/>
      <c r="J53" s="1"/>
      <c r="K53" s="1"/>
      <c r="L53" s="1"/>
      <c r="M53" s="1"/>
      <c r="N53" s="1"/>
      <c r="O53" s="1"/>
    </row>
    <row r="54" ht="15.75" customHeight="1">
      <c r="B54" s="1"/>
      <c r="C54" s="1"/>
      <c r="D54" s="1"/>
      <c r="E54" s="1"/>
      <c r="F54" s="1"/>
      <c r="G54" s="1"/>
      <c r="H54" s="1"/>
      <c r="I54" s="1"/>
      <c r="J54" s="1"/>
      <c r="K54" s="1"/>
      <c r="L54" s="1"/>
      <c r="M54" s="1"/>
      <c r="N54" s="1"/>
      <c r="O54" s="1"/>
    </row>
    <row r="55" ht="15.75" customHeight="1">
      <c r="B55" s="1"/>
      <c r="C55" s="1"/>
      <c r="D55" s="1"/>
      <c r="E55" s="1"/>
      <c r="F55" s="1"/>
      <c r="G55" s="1"/>
      <c r="H55" s="1"/>
      <c r="I55" s="1"/>
      <c r="J55" s="1"/>
      <c r="K55" s="1"/>
      <c r="L55" s="1"/>
      <c r="M55" s="1"/>
      <c r="N55" s="1"/>
      <c r="O55" s="1"/>
    </row>
    <row r="56" ht="15.75" customHeight="1">
      <c r="B56" s="1"/>
      <c r="C56" s="1"/>
      <c r="D56" s="1"/>
      <c r="E56" s="1"/>
      <c r="F56" s="1"/>
      <c r="G56" s="1"/>
      <c r="H56" s="1"/>
      <c r="I56" s="1"/>
      <c r="J56" s="1"/>
      <c r="K56" s="1"/>
      <c r="L56" s="1"/>
      <c r="M56" s="1"/>
      <c r="N56" s="1"/>
      <c r="O56" s="1"/>
    </row>
    <row r="57" ht="15.75" customHeight="1">
      <c r="B57" s="1"/>
      <c r="C57" s="1"/>
      <c r="D57" s="1"/>
      <c r="E57" s="1"/>
      <c r="F57" s="1"/>
      <c r="G57" s="1"/>
      <c r="H57" s="1"/>
      <c r="I57" s="1"/>
      <c r="J57" s="1"/>
      <c r="K57" s="1"/>
      <c r="L57" s="1"/>
      <c r="M57" s="1"/>
      <c r="N57" s="1"/>
      <c r="O57" s="1"/>
    </row>
    <row r="58" ht="15.75" customHeight="1">
      <c r="B58" s="1"/>
      <c r="C58" s="1"/>
      <c r="D58" s="1"/>
      <c r="E58" s="1"/>
      <c r="F58" s="1"/>
      <c r="G58" s="1"/>
      <c r="H58" s="1"/>
      <c r="I58" s="1"/>
      <c r="J58" s="1"/>
      <c r="K58" s="1"/>
      <c r="L58" s="1"/>
      <c r="M58" s="1"/>
      <c r="N58" s="1"/>
      <c r="O58" s="1"/>
    </row>
    <row r="59" ht="15.75" customHeight="1">
      <c r="B59" s="1"/>
      <c r="C59" s="1"/>
      <c r="D59" s="1"/>
      <c r="E59" s="1"/>
      <c r="F59" s="1"/>
      <c r="G59" s="1"/>
      <c r="H59" s="1"/>
      <c r="I59" s="1"/>
      <c r="J59" s="1"/>
      <c r="K59" s="1"/>
      <c r="L59" s="1"/>
      <c r="M59" s="1"/>
      <c r="N59" s="1"/>
      <c r="O59" s="1"/>
    </row>
    <row r="60" ht="15.75" customHeight="1">
      <c r="B60" s="1"/>
      <c r="C60" s="1"/>
      <c r="D60" s="1"/>
      <c r="E60" s="1"/>
      <c r="F60" s="1"/>
      <c r="G60" s="1"/>
      <c r="H60" s="1"/>
      <c r="I60" s="1"/>
      <c r="J60" s="1"/>
      <c r="K60" s="1"/>
      <c r="L60" s="1"/>
      <c r="M60" s="1"/>
      <c r="N60" s="1"/>
      <c r="O60" s="1"/>
    </row>
    <row r="61" ht="15.75" customHeight="1">
      <c r="B61" s="1"/>
      <c r="C61" s="1"/>
      <c r="D61" s="1"/>
      <c r="E61" s="1"/>
      <c r="F61" s="1"/>
      <c r="G61" s="1"/>
      <c r="H61" s="1"/>
      <c r="I61" s="1"/>
      <c r="J61" s="1"/>
      <c r="K61" s="1"/>
      <c r="L61" s="1"/>
      <c r="M61" s="1"/>
      <c r="N61" s="1"/>
      <c r="O61" s="1"/>
    </row>
    <row r="62" ht="15.75" customHeight="1">
      <c r="B62" s="1"/>
      <c r="C62" s="1"/>
      <c r="D62" s="1"/>
      <c r="E62" s="1"/>
      <c r="F62" s="1"/>
      <c r="G62" s="1"/>
      <c r="H62" s="1"/>
      <c r="I62" s="1"/>
      <c r="J62" s="1"/>
      <c r="K62" s="1"/>
      <c r="L62" s="1"/>
      <c r="M62" s="1"/>
      <c r="N62" s="1"/>
      <c r="O62" s="1"/>
    </row>
    <row r="63" ht="15.75" customHeight="1">
      <c r="B63" s="1"/>
      <c r="C63" s="1"/>
      <c r="D63" s="1"/>
      <c r="E63" s="1"/>
      <c r="F63" s="1"/>
      <c r="G63" s="1"/>
      <c r="H63" s="1"/>
      <c r="I63" s="1"/>
      <c r="J63" s="1"/>
      <c r="K63" s="1"/>
      <c r="L63" s="1"/>
      <c r="M63" s="1"/>
      <c r="N63" s="1"/>
      <c r="O63" s="1"/>
    </row>
    <row r="64" ht="15.75" customHeight="1">
      <c r="B64" s="1"/>
      <c r="C64" s="1"/>
      <c r="D64" s="1"/>
      <c r="E64" s="1"/>
      <c r="F64" s="1"/>
      <c r="G64" s="1"/>
      <c r="H64" s="1"/>
      <c r="I64" s="1"/>
      <c r="J64" s="1"/>
      <c r="K64" s="1"/>
      <c r="L64" s="1"/>
      <c r="M64" s="1"/>
      <c r="N64" s="1"/>
      <c r="O64" s="1"/>
    </row>
    <row r="65" ht="15.75" customHeight="1">
      <c r="B65" s="1"/>
      <c r="C65" s="1"/>
      <c r="D65" s="1"/>
      <c r="E65" s="1"/>
      <c r="F65" s="1"/>
      <c r="G65" s="1"/>
      <c r="H65" s="1"/>
      <c r="I65" s="1"/>
      <c r="J65" s="1"/>
      <c r="K65" s="1"/>
      <c r="L65" s="1"/>
      <c r="M65" s="1"/>
      <c r="N65" s="1"/>
      <c r="O65" s="1"/>
    </row>
    <row r="66" ht="15.75" customHeight="1">
      <c r="B66" s="1"/>
      <c r="C66" s="1"/>
      <c r="D66" s="1"/>
      <c r="E66" s="1"/>
      <c r="F66" s="1"/>
      <c r="G66" s="1"/>
      <c r="H66" s="1"/>
      <c r="I66" s="1"/>
      <c r="J66" s="1"/>
      <c r="K66" s="1"/>
      <c r="L66" s="1"/>
      <c r="M66" s="1"/>
      <c r="N66" s="1"/>
      <c r="O66" s="1"/>
    </row>
    <row r="67" ht="15.75" customHeight="1">
      <c r="B67" s="1"/>
      <c r="C67" s="1"/>
      <c r="D67" s="1"/>
      <c r="E67" s="1"/>
      <c r="F67" s="1"/>
      <c r="G67" s="1"/>
      <c r="H67" s="1"/>
      <c r="I67" s="1"/>
      <c r="J67" s="1"/>
      <c r="K67" s="1"/>
      <c r="L67" s="1"/>
      <c r="M67" s="1"/>
      <c r="N67" s="1"/>
      <c r="O67" s="1"/>
    </row>
    <row r="68" ht="15.75" customHeight="1">
      <c r="B68" s="1"/>
      <c r="C68" s="1"/>
      <c r="D68" s="1"/>
      <c r="E68" s="1"/>
      <c r="F68" s="1"/>
      <c r="G68" s="1"/>
      <c r="H68" s="1"/>
      <c r="I68" s="1"/>
      <c r="J68" s="1"/>
      <c r="K68" s="1"/>
      <c r="L68" s="1"/>
      <c r="M68" s="1"/>
      <c r="N68" s="1"/>
      <c r="O68" s="1"/>
    </row>
    <row r="69" ht="15.75" customHeight="1">
      <c r="B69" s="1"/>
      <c r="C69" s="1"/>
      <c r="D69" s="1"/>
      <c r="E69" s="1"/>
      <c r="F69" s="1"/>
      <c r="G69" s="1"/>
      <c r="H69" s="1"/>
      <c r="I69" s="1"/>
      <c r="J69" s="1"/>
      <c r="K69" s="1"/>
      <c r="L69" s="1"/>
      <c r="M69" s="1"/>
      <c r="N69" s="1"/>
      <c r="O69" s="1"/>
    </row>
    <row r="70" ht="15.75" customHeight="1">
      <c r="B70" s="1"/>
      <c r="C70" s="1"/>
      <c r="D70" s="1"/>
      <c r="E70" s="1"/>
      <c r="F70" s="1"/>
      <c r="G70" s="1"/>
      <c r="H70" s="1"/>
      <c r="I70" s="1"/>
      <c r="J70" s="1"/>
      <c r="K70" s="1"/>
      <c r="L70" s="1"/>
      <c r="M70" s="1"/>
      <c r="N70" s="1"/>
      <c r="O70" s="1"/>
    </row>
    <row r="71" ht="15.75" customHeight="1">
      <c r="B71" s="1"/>
      <c r="C71" s="1"/>
      <c r="D71" s="1"/>
      <c r="E71" s="1"/>
      <c r="F71" s="1"/>
      <c r="G71" s="1"/>
      <c r="H71" s="1"/>
      <c r="I71" s="1"/>
      <c r="J71" s="1"/>
      <c r="K71" s="1"/>
      <c r="L71" s="1"/>
      <c r="M71" s="1"/>
      <c r="N71" s="1"/>
      <c r="O71" s="1"/>
    </row>
    <row r="72" ht="15.75" customHeight="1">
      <c r="B72" s="1"/>
      <c r="C72" s="1"/>
      <c r="D72" s="1"/>
      <c r="E72" s="1"/>
      <c r="F72" s="1"/>
      <c r="G72" s="1"/>
      <c r="H72" s="1"/>
      <c r="I72" s="1"/>
      <c r="J72" s="1"/>
      <c r="K72" s="1"/>
      <c r="L72" s="1"/>
      <c r="M72" s="1"/>
      <c r="N72" s="1"/>
      <c r="O72" s="1"/>
    </row>
    <row r="73" ht="15.75" customHeight="1">
      <c r="B73" s="1"/>
      <c r="C73" s="1"/>
      <c r="D73" s="1"/>
      <c r="E73" s="1"/>
      <c r="F73" s="1"/>
      <c r="G73" s="1"/>
      <c r="H73" s="1"/>
      <c r="I73" s="1"/>
      <c r="J73" s="1"/>
      <c r="K73" s="1"/>
      <c r="L73" s="1"/>
      <c r="M73" s="1"/>
      <c r="N73" s="1"/>
      <c r="O73" s="1"/>
    </row>
    <row r="74" ht="15.75" customHeight="1">
      <c r="B74" s="1"/>
      <c r="C74" s="1"/>
      <c r="D74" s="1"/>
      <c r="E74" s="1"/>
      <c r="F74" s="1"/>
      <c r="G74" s="1"/>
      <c r="H74" s="1"/>
      <c r="I74" s="1"/>
      <c r="J74" s="1"/>
      <c r="K74" s="1"/>
      <c r="L74" s="1"/>
      <c r="M74" s="1"/>
      <c r="N74" s="1"/>
      <c r="O74" s="1"/>
    </row>
    <row r="75" ht="15.75" customHeight="1">
      <c r="B75" s="1"/>
      <c r="C75" s="1"/>
      <c r="D75" s="1"/>
      <c r="E75" s="1"/>
      <c r="F75" s="1"/>
      <c r="G75" s="1"/>
      <c r="H75" s="1"/>
      <c r="I75" s="1"/>
      <c r="J75" s="1"/>
      <c r="K75" s="1"/>
      <c r="L75" s="1"/>
      <c r="M75" s="1"/>
      <c r="N75" s="1"/>
      <c r="O75" s="1"/>
    </row>
    <row r="76" ht="15.75" customHeight="1">
      <c r="B76" s="1"/>
      <c r="C76" s="1"/>
      <c r="D76" s="1"/>
      <c r="E76" s="1"/>
      <c r="F76" s="1"/>
      <c r="G76" s="1"/>
      <c r="H76" s="1"/>
      <c r="I76" s="1"/>
      <c r="J76" s="1"/>
      <c r="K76" s="1"/>
      <c r="L76" s="1"/>
      <c r="M76" s="1"/>
      <c r="N76" s="1"/>
      <c r="O76" s="1"/>
    </row>
    <row r="77" ht="15.75" customHeight="1">
      <c r="B77" s="1"/>
      <c r="C77" s="1"/>
      <c r="D77" s="1"/>
      <c r="E77" s="1"/>
      <c r="F77" s="1"/>
      <c r="G77" s="1"/>
      <c r="H77" s="1"/>
      <c r="I77" s="1"/>
      <c r="J77" s="1"/>
      <c r="K77" s="1"/>
      <c r="L77" s="1"/>
      <c r="M77" s="1"/>
      <c r="N77" s="1"/>
      <c r="O77" s="1"/>
    </row>
    <row r="78" ht="15.75" customHeight="1">
      <c r="B78" s="1"/>
      <c r="C78" s="1"/>
      <c r="D78" s="1"/>
      <c r="E78" s="1"/>
      <c r="F78" s="1"/>
      <c r="G78" s="1"/>
      <c r="H78" s="1"/>
      <c r="I78" s="1"/>
      <c r="J78" s="1"/>
      <c r="K78" s="1"/>
      <c r="L78" s="1"/>
      <c r="M78" s="1"/>
      <c r="N78" s="1"/>
      <c r="O78" s="1"/>
    </row>
    <row r="79" ht="15.75" customHeight="1">
      <c r="B79" s="1"/>
      <c r="C79" s="1"/>
      <c r="D79" s="1"/>
      <c r="E79" s="1"/>
      <c r="F79" s="1"/>
      <c r="G79" s="1"/>
      <c r="H79" s="1"/>
      <c r="I79" s="1"/>
      <c r="J79" s="1"/>
      <c r="K79" s="1"/>
      <c r="L79" s="1"/>
      <c r="M79" s="1"/>
      <c r="N79" s="1"/>
      <c r="O79" s="1"/>
    </row>
    <row r="80" ht="15.75" customHeight="1">
      <c r="B80" s="1"/>
      <c r="C80" s="1"/>
      <c r="D80" s="1"/>
      <c r="E80" s="1"/>
      <c r="F80" s="1"/>
      <c r="G80" s="1"/>
      <c r="H80" s="1"/>
      <c r="I80" s="1"/>
      <c r="J80" s="1"/>
      <c r="K80" s="1"/>
      <c r="L80" s="1"/>
      <c r="M80" s="1"/>
      <c r="N80" s="1"/>
      <c r="O80" s="1"/>
    </row>
    <row r="81" ht="15.75" customHeight="1">
      <c r="B81" s="1"/>
      <c r="C81" s="1"/>
      <c r="D81" s="1"/>
      <c r="E81" s="1"/>
      <c r="F81" s="1"/>
      <c r="G81" s="1"/>
      <c r="H81" s="1"/>
      <c r="I81" s="1"/>
      <c r="J81" s="1"/>
      <c r="K81" s="1"/>
      <c r="L81" s="1"/>
      <c r="M81" s="1"/>
      <c r="N81" s="1"/>
      <c r="O81" s="1"/>
    </row>
    <row r="82" ht="15.75" customHeight="1">
      <c r="B82" s="1"/>
      <c r="C82" s="1"/>
      <c r="D82" s="1"/>
      <c r="E82" s="1"/>
      <c r="F82" s="1"/>
      <c r="G82" s="1"/>
      <c r="H82" s="1"/>
      <c r="I82" s="1"/>
      <c r="J82" s="1"/>
      <c r="K82" s="1"/>
      <c r="L82" s="1"/>
      <c r="M82" s="1"/>
      <c r="N82" s="1"/>
      <c r="O82" s="1"/>
    </row>
    <row r="83" ht="15.75" customHeight="1">
      <c r="B83" s="1"/>
      <c r="C83" s="1"/>
      <c r="D83" s="1"/>
      <c r="E83" s="1"/>
      <c r="F83" s="1"/>
      <c r="G83" s="1"/>
      <c r="H83" s="1"/>
      <c r="I83" s="1"/>
      <c r="J83" s="1"/>
      <c r="K83" s="1"/>
      <c r="L83" s="1"/>
      <c r="M83" s="1"/>
      <c r="N83" s="1"/>
      <c r="O83" s="1"/>
    </row>
    <row r="84" ht="15.75" customHeight="1">
      <c r="B84" s="1"/>
      <c r="C84" s="1"/>
      <c r="D84" s="1"/>
      <c r="E84" s="1"/>
      <c r="F84" s="1"/>
      <c r="G84" s="1"/>
      <c r="H84" s="1"/>
      <c r="I84" s="1"/>
      <c r="J84" s="1"/>
      <c r="K84" s="1"/>
      <c r="L84" s="1"/>
      <c r="M84" s="1"/>
      <c r="N84" s="1"/>
      <c r="O84" s="1"/>
    </row>
    <row r="85" ht="15.75" customHeight="1">
      <c r="B85" s="1"/>
      <c r="C85" s="1"/>
      <c r="D85" s="1"/>
      <c r="E85" s="1"/>
      <c r="F85" s="1"/>
      <c r="G85" s="1"/>
      <c r="H85" s="1"/>
      <c r="I85" s="1"/>
      <c r="J85" s="1"/>
      <c r="K85" s="1"/>
      <c r="L85" s="1"/>
      <c r="M85" s="1"/>
      <c r="N85" s="1"/>
      <c r="O85" s="1"/>
    </row>
    <row r="86" ht="15.75" customHeight="1">
      <c r="B86" s="1"/>
      <c r="C86" s="1"/>
      <c r="D86" s="1"/>
      <c r="E86" s="1"/>
      <c r="F86" s="1"/>
      <c r="G86" s="1"/>
      <c r="H86" s="1"/>
      <c r="I86" s="1"/>
      <c r="J86" s="1"/>
      <c r="K86" s="1"/>
      <c r="L86" s="1"/>
      <c r="M86" s="1"/>
      <c r="N86" s="1"/>
      <c r="O86" s="1"/>
    </row>
    <row r="87" ht="15.75" customHeight="1">
      <c r="B87" s="1"/>
      <c r="C87" s="1"/>
      <c r="D87" s="1"/>
      <c r="E87" s="1"/>
      <c r="F87" s="1"/>
      <c r="G87" s="1"/>
      <c r="H87" s="1"/>
      <c r="I87" s="1"/>
      <c r="J87" s="1"/>
      <c r="K87" s="1"/>
      <c r="L87" s="1"/>
      <c r="M87" s="1"/>
      <c r="N87" s="1"/>
      <c r="O87" s="1"/>
    </row>
    <row r="88" ht="15.75" customHeight="1">
      <c r="B88" s="1"/>
      <c r="C88" s="1"/>
      <c r="D88" s="1"/>
      <c r="E88" s="1"/>
      <c r="F88" s="1"/>
      <c r="G88" s="1"/>
      <c r="H88" s="1"/>
      <c r="I88" s="1"/>
      <c r="J88" s="1"/>
      <c r="K88" s="1"/>
      <c r="L88" s="1"/>
      <c r="M88" s="1"/>
      <c r="N88" s="1"/>
      <c r="O88" s="1"/>
    </row>
    <row r="89" ht="15.75" customHeight="1">
      <c r="B89" s="1"/>
      <c r="C89" s="1"/>
      <c r="D89" s="1"/>
      <c r="E89" s="1"/>
      <c r="F89" s="1"/>
      <c r="G89" s="1"/>
      <c r="H89" s="1"/>
      <c r="I89" s="1"/>
      <c r="J89" s="1"/>
      <c r="K89" s="1"/>
      <c r="L89" s="1"/>
      <c r="M89" s="1"/>
      <c r="N89" s="1"/>
      <c r="O89" s="1"/>
    </row>
    <row r="90" ht="15.75" customHeight="1">
      <c r="B90" s="1"/>
      <c r="C90" s="1"/>
      <c r="D90" s="1"/>
      <c r="E90" s="1"/>
      <c r="F90" s="1"/>
      <c r="G90" s="1"/>
      <c r="H90" s="1"/>
      <c r="I90" s="1"/>
      <c r="J90" s="1"/>
      <c r="K90" s="1"/>
      <c r="L90" s="1"/>
      <c r="M90" s="1"/>
      <c r="N90" s="1"/>
      <c r="O90" s="1"/>
    </row>
    <row r="91" ht="15.75" customHeight="1">
      <c r="B91" s="1"/>
      <c r="C91" s="1"/>
      <c r="D91" s="1"/>
      <c r="E91" s="1"/>
      <c r="F91" s="1"/>
      <c r="G91" s="1"/>
      <c r="H91" s="1"/>
      <c r="I91" s="1"/>
      <c r="J91" s="1"/>
      <c r="K91" s="1"/>
      <c r="L91" s="1"/>
      <c r="M91" s="1"/>
      <c r="N91" s="1"/>
      <c r="O91" s="1"/>
    </row>
    <row r="92" ht="15.75" customHeight="1">
      <c r="B92" s="1"/>
      <c r="C92" s="1"/>
      <c r="D92" s="1"/>
      <c r="E92" s="1"/>
      <c r="F92" s="1"/>
      <c r="G92" s="1"/>
      <c r="H92" s="1"/>
      <c r="I92" s="1"/>
      <c r="J92" s="1"/>
      <c r="K92" s="1"/>
      <c r="L92" s="1"/>
      <c r="M92" s="1"/>
      <c r="N92" s="1"/>
      <c r="O92" s="1"/>
    </row>
    <row r="93" ht="15.75" customHeight="1">
      <c r="B93" s="1"/>
      <c r="C93" s="1"/>
      <c r="D93" s="1"/>
      <c r="E93" s="1"/>
      <c r="F93" s="1"/>
      <c r="G93" s="1"/>
      <c r="H93" s="1"/>
      <c r="I93" s="1"/>
      <c r="J93" s="1"/>
      <c r="K93" s="1"/>
      <c r="L93" s="1"/>
      <c r="M93" s="1"/>
      <c r="N93" s="1"/>
      <c r="O93" s="1"/>
    </row>
    <row r="94" ht="15.75" customHeight="1">
      <c r="B94" s="1"/>
      <c r="C94" s="1"/>
      <c r="D94" s="1"/>
      <c r="E94" s="1"/>
      <c r="F94" s="1"/>
      <c r="G94" s="1"/>
      <c r="H94" s="1"/>
      <c r="I94" s="1"/>
      <c r="J94" s="1"/>
      <c r="K94" s="1"/>
      <c r="L94" s="1"/>
      <c r="M94" s="1"/>
      <c r="N94" s="1"/>
      <c r="O94" s="1"/>
    </row>
    <row r="95" ht="15.75" customHeight="1">
      <c r="B95" s="1"/>
      <c r="C95" s="1"/>
      <c r="D95" s="1"/>
      <c r="E95" s="1"/>
      <c r="F95" s="1"/>
      <c r="G95" s="1"/>
      <c r="H95" s="1"/>
      <c r="I95" s="1"/>
      <c r="J95" s="1"/>
      <c r="K95" s="1"/>
      <c r="L95" s="1"/>
      <c r="M95" s="1"/>
      <c r="N95" s="1"/>
      <c r="O95" s="1"/>
    </row>
    <row r="96" ht="15.75" customHeight="1">
      <c r="B96" s="1"/>
      <c r="C96" s="1"/>
      <c r="D96" s="1"/>
      <c r="E96" s="1"/>
      <c r="F96" s="1"/>
      <c r="G96" s="1"/>
      <c r="H96" s="1"/>
      <c r="I96" s="1"/>
      <c r="J96" s="1"/>
      <c r="K96" s="1"/>
      <c r="L96" s="1"/>
      <c r="M96" s="1"/>
      <c r="N96" s="1"/>
      <c r="O96" s="1"/>
    </row>
    <row r="97" ht="15.75" customHeight="1">
      <c r="B97" s="1"/>
      <c r="C97" s="1"/>
      <c r="D97" s="1"/>
      <c r="E97" s="1"/>
      <c r="F97" s="1"/>
      <c r="G97" s="1"/>
      <c r="H97" s="1"/>
      <c r="I97" s="1"/>
      <c r="J97" s="1"/>
      <c r="K97" s="1"/>
      <c r="L97" s="1"/>
      <c r="M97" s="1"/>
      <c r="N97" s="1"/>
      <c r="O97" s="1"/>
    </row>
    <row r="98" ht="15.75" customHeight="1">
      <c r="B98" s="1"/>
      <c r="C98" s="1"/>
      <c r="D98" s="1"/>
      <c r="E98" s="1"/>
      <c r="F98" s="1"/>
      <c r="G98" s="1"/>
      <c r="H98" s="1"/>
      <c r="I98" s="1"/>
      <c r="J98" s="1"/>
      <c r="K98" s="1"/>
      <c r="L98" s="1"/>
      <c r="M98" s="1"/>
      <c r="N98" s="1"/>
      <c r="O98" s="1"/>
    </row>
    <row r="99" ht="15.75" customHeight="1">
      <c r="B99" s="1"/>
      <c r="C99" s="1"/>
      <c r="D99" s="1"/>
      <c r="E99" s="1"/>
      <c r="F99" s="1"/>
      <c r="G99" s="1"/>
      <c r="H99" s="1"/>
      <c r="I99" s="1"/>
      <c r="J99" s="1"/>
      <c r="K99" s="1"/>
      <c r="L99" s="1"/>
      <c r="M99" s="1"/>
      <c r="N99" s="1"/>
      <c r="O99" s="1"/>
    </row>
    <row r="100" ht="15.75" customHeight="1">
      <c r="B100" s="1"/>
      <c r="C100" s="1"/>
      <c r="D100" s="1"/>
      <c r="E100" s="1"/>
      <c r="F100" s="1"/>
      <c r="G100" s="1"/>
      <c r="H100" s="1"/>
      <c r="I100" s="1"/>
      <c r="J100" s="1"/>
      <c r="K100" s="1"/>
      <c r="L100" s="1"/>
      <c r="M100" s="1"/>
      <c r="N100" s="1"/>
      <c r="O100" s="1"/>
    </row>
    <row r="101" ht="15.75" customHeight="1">
      <c r="B101" s="1"/>
      <c r="C101" s="1"/>
      <c r="D101" s="1"/>
      <c r="E101" s="1"/>
      <c r="F101" s="1"/>
      <c r="G101" s="1"/>
      <c r="H101" s="1"/>
      <c r="I101" s="1"/>
      <c r="J101" s="1"/>
      <c r="K101" s="1"/>
      <c r="L101" s="1"/>
      <c r="M101" s="1"/>
      <c r="N101" s="1"/>
      <c r="O101" s="1"/>
    </row>
    <row r="102" ht="15.75" customHeight="1">
      <c r="B102" s="1"/>
      <c r="C102" s="1"/>
      <c r="D102" s="1"/>
      <c r="E102" s="1"/>
      <c r="F102" s="1"/>
      <c r="G102" s="1"/>
      <c r="H102" s="1"/>
      <c r="I102" s="1"/>
      <c r="J102" s="1"/>
      <c r="K102" s="1"/>
      <c r="L102" s="1"/>
      <c r="M102" s="1"/>
      <c r="N102" s="1"/>
      <c r="O102" s="1"/>
    </row>
    <row r="103" ht="15.75" customHeight="1">
      <c r="B103" s="1"/>
      <c r="C103" s="1"/>
      <c r="D103" s="1"/>
      <c r="E103" s="1"/>
      <c r="F103" s="1"/>
      <c r="G103" s="1"/>
      <c r="H103" s="1"/>
      <c r="I103" s="1"/>
      <c r="J103" s="1"/>
      <c r="K103" s="1"/>
      <c r="L103" s="1"/>
      <c r="M103" s="1"/>
      <c r="N103" s="1"/>
      <c r="O103" s="1"/>
    </row>
    <row r="104" ht="15.75" customHeight="1">
      <c r="B104" s="1"/>
      <c r="C104" s="1"/>
      <c r="D104" s="1"/>
      <c r="E104" s="1"/>
      <c r="F104" s="1"/>
      <c r="G104" s="1"/>
      <c r="H104" s="1"/>
      <c r="I104" s="1"/>
      <c r="J104" s="1"/>
      <c r="K104" s="1"/>
      <c r="L104" s="1"/>
      <c r="M104" s="1"/>
      <c r="N104" s="1"/>
      <c r="O104" s="1"/>
    </row>
    <row r="105" ht="15.75" customHeight="1">
      <c r="B105" s="1"/>
      <c r="C105" s="1"/>
      <c r="D105" s="1"/>
      <c r="E105" s="1"/>
      <c r="F105" s="1"/>
      <c r="G105" s="1"/>
      <c r="H105" s="1"/>
      <c r="I105" s="1"/>
      <c r="J105" s="1"/>
      <c r="K105" s="1"/>
      <c r="L105" s="1"/>
      <c r="M105" s="1"/>
      <c r="N105" s="1"/>
      <c r="O105" s="1"/>
    </row>
    <row r="106" ht="15.75" customHeight="1">
      <c r="B106" s="1"/>
      <c r="C106" s="1"/>
      <c r="D106" s="1"/>
      <c r="E106" s="1"/>
      <c r="F106" s="1"/>
      <c r="G106" s="1"/>
      <c r="H106" s="1"/>
      <c r="I106" s="1"/>
      <c r="J106" s="1"/>
      <c r="K106" s="1"/>
      <c r="L106" s="1"/>
      <c r="M106" s="1"/>
      <c r="N106" s="1"/>
      <c r="O106" s="1"/>
    </row>
    <row r="107" ht="15.75" customHeight="1">
      <c r="B107" s="1"/>
      <c r="C107" s="1"/>
      <c r="D107" s="1"/>
      <c r="E107" s="1"/>
      <c r="F107" s="1"/>
      <c r="G107" s="1"/>
      <c r="H107" s="1"/>
      <c r="I107" s="1"/>
      <c r="J107" s="1"/>
      <c r="K107" s="1"/>
      <c r="L107" s="1"/>
      <c r="M107" s="1"/>
      <c r="N107" s="1"/>
      <c r="O107" s="1"/>
    </row>
    <row r="108" ht="15.75" customHeight="1">
      <c r="B108" s="1"/>
      <c r="C108" s="1"/>
      <c r="D108" s="1"/>
      <c r="E108" s="1"/>
      <c r="F108" s="1"/>
      <c r="G108" s="1"/>
      <c r="H108" s="1"/>
      <c r="I108" s="1"/>
      <c r="J108" s="1"/>
      <c r="K108" s="1"/>
      <c r="L108" s="1"/>
      <c r="M108" s="1"/>
      <c r="N108" s="1"/>
      <c r="O108" s="1"/>
    </row>
    <row r="109" ht="15.75" customHeight="1">
      <c r="B109" s="1"/>
      <c r="C109" s="1"/>
      <c r="D109" s="1"/>
      <c r="E109" s="1"/>
      <c r="F109" s="1"/>
      <c r="G109" s="1"/>
      <c r="H109" s="1"/>
      <c r="I109" s="1"/>
      <c r="J109" s="1"/>
      <c r="K109" s="1"/>
      <c r="L109" s="1"/>
      <c r="M109" s="1"/>
      <c r="N109" s="1"/>
      <c r="O109" s="1"/>
    </row>
    <row r="110" ht="15.75" customHeight="1">
      <c r="B110" s="1"/>
      <c r="C110" s="1"/>
      <c r="D110" s="1"/>
      <c r="E110" s="1"/>
      <c r="F110" s="1"/>
      <c r="G110" s="1"/>
      <c r="H110" s="1"/>
      <c r="I110" s="1"/>
      <c r="J110" s="1"/>
      <c r="K110" s="1"/>
      <c r="L110" s="1"/>
      <c r="M110" s="1"/>
      <c r="N110" s="1"/>
      <c r="O110" s="1"/>
    </row>
    <row r="111" ht="15.75" customHeight="1">
      <c r="B111" s="1"/>
      <c r="C111" s="1"/>
      <c r="D111" s="1"/>
      <c r="E111" s="1"/>
      <c r="F111" s="1"/>
      <c r="G111" s="1"/>
      <c r="H111" s="1"/>
      <c r="I111" s="1"/>
      <c r="J111" s="1"/>
      <c r="K111" s="1"/>
      <c r="L111" s="1"/>
      <c r="M111" s="1"/>
      <c r="N111" s="1"/>
      <c r="O111" s="1"/>
    </row>
    <row r="112" ht="15.75" customHeight="1">
      <c r="B112" s="1"/>
      <c r="C112" s="1"/>
      <c r="D112" s="1"/>
      <c r="E112" s="1"/>
      <c r="F112" s="1"/>
      <c r="G112" s="1"/>
      <c r="H112" s="1"/>
      <c r="I112" s="1"/>
      <c r="J112" s="1"/>
      <c r="K112" s="1"/>
      <c r="L112" s="1"/>
      <c r="M112" s="1"/>
      <c r="N112" s="1"/>
      <c r="O112" s="1"/>
    </row>
    <row r="113" ht="15.75" customHeight="1">
      <c r="B113" s="1"/>
      <c r="C113" s="1"/>
      <c r="D113" s="1"/>
      <c r="E113" s="1"/>
      <c r="F113" s="1"/>
      <c r="G113" s="1"/>
      <c r="H113" s="1"/>
      <c r="I113" s="1"/>
      <c r="J113" s="1"/>
      <c r="K113" s="1"/>
      <c r="L113" s="1"/>
      <c r="M113" s="1"/>
      <c r="N113" s="1"/>
      <c r="O113" s="1"/>
    </row>
    <row r="114" ht="15.75" customHeight="1">
      <c r="B114" s="1"/>
      <c r="C114" s="1"/>
      <c r="D114" s="1"/>
      <c r="E114" s="1"/>
      <c r="F114" s="1"/>
      <c r="G114" s="1"/>
      <c r="H114" s="1"/>
      <c r="I114" s="1"/>
      <c r="J114" s="1"/>
      <c r="K114" s="1"/>
      <c r="L114" s="1"/>
      <c r="M114" s="1"/>
      <c r="N114" s="1"/>
      <c r="O114" s="1"/>
    </row>
    <row r="115" ht="15.75" customHeight="1">
      <c r="B115" s="1"/>
      <c r="C115" s="1"/>
      <c r="D115" s="1"/>
      <c r="E115" s="1"/>
      <c r="F115" s="1"/>
      <c r="G115" s="1"/>
      <c r="H115" s="1"/>
      <c r="I115" s="1"/>
      <c r="J115" s="1"/>
      <c r="K115" s="1"/>
      <c r="L115" s="1"/>
      <c r="M115" s="1"/>
      <c r="N115" s="1"/>
      <c r="O115" s="1"/>
    </row>
    <row r="116" ht="15.75" customHeight="1">
      <c r="B116" s="1"/>
      <c r="C116" s="1"/>
      <c r="D116" s="1"/>
      <c r="E116" s="1"/>
      <c r="F116" s="1"/>
      <c r="G116" s="1"/>
      <c r="H116" s="1"/>
      <c r="I116" s="1"/>
      <c r="J116" s="1"/>
      <c r="K116" s="1"/>
      <c r="L116" s="1"/>
      <c r="M116" s="1"/>
      <c r="N116" s="1"/>
      <c r="O116" s="1"/>
    </row>
    <row r="117" ht="15.75" customHeight="1">
      <c r="B117" s="1"/>
      <c r="C117" s="1"/>
      <c r="D117" s="1"/>
      <c r="E117" s="1"/>
      <c r="F117" s="1"/>
      <c r="G117" s="1"/>
      <c r="H117" s="1"/>
      <c r="I117" s="1"/>
      <c r="J117" s="1"/>
      <c r="K117" s="1"/>
      <c r="L117" s="1"/>
      <c r="M117" s="1"/>
      <c r="N117" s="1"/>
      <c r="O117" s="1"/>
    </row>
    <row r="118" ht="15.75" customHeight="1">
      <c r="B118" s="1"/>
      <c r="C118" s="1"/>
      <c r="D118" s="1"/>
      <c r="E118" s="1"/>
      <c r="F118" s="1"/>
      <c r="G118" s="1"/>
      <c r="H118" s="1"/>
      <c r="I118" s="1"/>
      <c r="J118" s="1"/>
      <c r="K118" s="1"/>
      <c r="L118" s="1"/>
      <c r="M118" s="1"/>
      <c r="N118" s="1"/>
      <c r="O118" s="1"/>
    </row>
    <row r="119" ht="15.75" customHeight="1">
      <c r="B119" s="1"/>
      <c r="C119" s="1"/>
      <c r="D119" s="1"/>
      <c r="E119" s="1"/>
      <c r="F119" s="1"/>
      <c r="G119" s="1"/>
      <c r="H119" s="1"/>
      <c r="I119" s="1"/>
      <c r="J119" s="1"/>
      <c r="K119" s="1"/>
      <c r="L119" s="1"/>
      <c r="M119" s="1"/>
      <c r="N119" s="1"/>
      <c r="O119" s="1"/>
    </row>
    <row r="120" ht="15.75" customHeight="1">
      <c r="B120" s="1"/>
      <c r="C120" s="1"/>
      <c r="D120" s="1"/>
      <c r="E120" s="1"/>
      <c r="F120" s="1"/>
      <c r="G120" s="1"/>
      <c r="H120" s="1"/>
      <c r="I120" s="1"/>
      <c r="J120" s="1"/>
      <c r="K120" s="1"/>
      <c r="L120" s="1"/>
      <c r="M120" s="1"/>
      <c r="N120" s="1"/>
      <c r="O120" s="1"/>
    </row>
    <row r="121" ht="15.75" customHeight="1">
      <c r="B121" s="1"/>
      <c r="C121" s="1"/>
      <c r="D121" s="1"/>
      <c r="E121" s="1"/>
      <c r="F121" s="1"/>
      <c r="G121" s="1"/>
      <c r="H121" s="1"/>
      <c r="I121" s="1"/>
      <c r="J121" s="1"/>
      <c r="K121" s="1"/>
      <c r="L121" s="1"/>
      <c r="M121" s="1"/>
      <c r="N121" s="1"/>
      <c r="O121" s="1"/>
    </row>
    <row r="122" ht="15.75" customHeight="1">
      <c r="B122" s="1"/>
      <c r="C122" s="1"/>
      <c r="D122" s="1"/>
      <c r="E122" s="1"/>
      <c r="F122" s="1"/>
      <c r="G122" s="1"/>
      <c r="H122" s="1"/>
      <c r="I122" s="1"/>
      <c r="J122" s="1"/>
      <c r="K122" s="1"/>
      <c r="L122" s="1"/>
      <c r="M122" s="1"/>
      <c r="N122" s="1"/>
      <c r="O122" s="1"/>
    </row>
    <row r="123" ht="15.75" customHeight="1">
      <c r="B123" s="1"/>
      <c r="C123" s="1"/>
      <c r="D123" s="1"/>
      <c r="E123" s="1"/>
      <c r="F123" s="1"/>
      <c r="G123" s="1"/>
      <c r="H123" s="1"/>
      <c r="I123" s="1"/>
      <c r="J123" s="1"/>
      <c r="K123" s="1"/>
      <c r="L123" s="1"/>
      <c r="M123" s="1"/>
      <c r="N123" s="1"/>
      <c r="O123" s="1"/>
    </row>
    <row r="124" ht="15.75" customHeight="1">
      <c r="B124" s="1"/>
      <c r="C124" s="1"/>
      <c r="D124" s="1"/>
      <c r="E124" s="1"/>
      <c r="F124" s="1"/>
      <c r="G124" s="1"/>
      <c r="H124" s="1"/>
      <c r="I124" s="1"/>
      <c r="J124" s="1"/>
      <c r="K124" s="1"/>
      <c r="L124" s="1"/>
      <c r="M124" s="1"/>
      <c r="N124" s="1"/>
      <c r="O124" s="1"/>
    </row>
    <row r="125" ht="15.75" customHeight="1">
      <c r="B125" s="1"/>
      <c r="C125" s="1"/>
      <c r="D125" s="1"/>
      <c r="E125" s="1"/>
      <c r="F125" s="1"/>
      <c r="G125" s="1"/>
      <c r="H125" s="1"/>
      <c r="I125" s="1"/>
      <c r="J125" s="1"/>
      <c r="K125" s="1"/>
      <c r="L125" s="1"/>
      <c r="M125" s="1"/>
      <c r="N125" s="1"/>
      <c r="O125" s="1"/>
    </row>
    <row r="126" ht="15.75" customHeight="1">
      <c r="B126" s="1"/>
      <c r="C126" s="1"/>
      <c r="D126" s="1"/>
      <c r="E126" s="1"/>
      <c r="F126" s="1"/>
      <c r="G126" s="1"/>
      <c r="H126" s="1"/>
      <c r="I126" s="1"/>
      <c r="J126" s="1"/>
      <c r="K126" s="1"/>
      <c r="L126" s="1"/>
      <c r="M126" s="1"/>
      <c r="N126" s="1"/>
      <c r="O126" s="1"/>
    </row>
    <row r="127" ht="15.75" customHeight="1">
      <c r="B127" s="1"/>
      <c r="C127" s="1"/>
      <c r="D127" s="1"/>
      <c r="E127" s="1"/>
      <c r="F127" s="1"/>
      <c r="G127" s="1"/>
      <c r="H127" s="1"/>
      <c r="I127" s="1"/>
      <c r="J127" s="1"/>
      <c r="K127" s="1"/>
      <c r="L127" s="1"/>
      <c r="M127" s="1"/>
      <c r="N127" s="1"/>
      <c r="O127" s="1"/>
    </row>
    <row r="128" ht="15.75" customHeight="1">
      <c r="B128" s="1"/>
      <c r="C128" s="1"/>
      <c r="D128" s="1"/>
      <c r="E128" s="1"/>
      <c r="F128" s="1"/>
      <c r="G128" s="1"/>
      <c r="H128" s="1"/>
      <c r="I128" s="1"/>
      <c r="J128" s="1"/>
      <c r="K128" s="1"/>
      <c r="L128" s="1"/>
      <c r="M128" s="1"/>
      <c r="N128" s="1"/>
      <c r="O128" s="1"/>
    </row>
    <row r="129" ht="15.75" customHeight="1">
      <c r="B129" s="1"/>
      <c r="C129" s="1"/>
      <c r="D129" s="1"/>
      <c r="E129" s="1"/>
      <c r="F129" s="1"/>
      <c r="G129" s="1"/>
      <c r="H129" s="1"/>
      <c r="I129" s="1"/>
      <c r="J129" s="1"/>
      <c r="K129" s="1"/>
      <c r="L129" s="1"/>
      <c r="M129" s="1"/>
      <c r="N129" s="1"/>
      <c r="O129" s="1"/>
    </row>
    <row r="130" ht="15.75" customHeight="1">
      <c r="B130" s="1"/>
      <c r="C130" s="1"/>
      <c r="D130" s="1"/>
      <c r="E130" s="1"/>
      <c r="F130" s="1"/>
      <c r="G130" s="1"/>
      <c r="H130" s="1"/>
      <c r="I130" s="1"/>
      <c r="J130" s="1"/>
      <c r="K130" s="1"/>
      <c r="L130" s="1"/>
      <c r="M130" s="1"/>
      <c r="N130" s="1"/>
      <c r="O130" s="1"/>
    </row>
    <row r="131" ht="15.75" customHeight="1">
      <c r="B131" s="1"/>
      <c r="C131" s="1"/>
      <c r="D131" s="1"/>
      <c r="E131" s="1"/>
      <c r="F131" s="1"/>
      <c r="G131" s="1"/>
      <c r="H131" s="1"/>
      <c r="I131" s="1"/>
      <c r="J131" s="1"/>
      <c r="K131" s="1"/>
      <c r="L131" s="1"/>
      <c r="M131" s="1"/>
      <c r="N131" s="1"/>
      <c r="O131" s="1"/>
    </row>
    <row r="132" ht="15.75" customHeight="1">
      <c r="B132" s="1"/>
      <c r="C132" s="1"/>
      <c r="D132" s="1"/>
      <c r="E132" s="1"/>
      <c r="F132" s="1"/>
      <c r="G132" s="1"/>
      <c r="H132" s="1"/>
      <c r="I132" s="1"/>
      <c r="J132" s="1"/>
      <c r="K132" s="1"/>
      <c r="L132" s="1"/>
      <c r="M132" s="1"/>
      <c r="N132" s="1"/>
      <c r="O132" s="1"/>
    </row>
    <row r="133" ht="15.75" customHeight="1">
      <c r="B133" s="1"/>
      <c r="C133" s="1"/>
      <c r="D133" s="1"/>
      <c r="E133" s="1"/>
      <c r="F133" s="1"/>
      <c r="G133" s="1"/>
      <c r="H133" s="1"/>
      <c r="I133" s="1"/>
      <c r="J133" s="1"/>
      <c r="K133" s="1"/>
      <c r="L133" s="1"/>
      <c r="M133" s="1"/>
      <c r="N133" s="1"/>
      <c r="O133" s="1"/>
    </row>
    <row r="134" ht="15.75" customHeight="1">
      <c r="B134" s="1"/>
      <c r="C134" s="1"/>
      <c r="D134" s="1"/>
      <c r="E134" s="1"/>
      <c r="F134" s="1"/>
      <c r="G134" s="1"/>
      <c r="H134" s="1"/>
      <c r="I134" s="1"/>
      <c r="J134" s="1"/>
      <c r="K134" s="1"/>
      <c r="L134" s="1"/>
      <c r="M134" s="1"/>
      <c r="N134" s="1"/>
      <c r="O134" s="1"/>
    </row>
    <row r="135" ht="15.75" customHeight="1">
      <c r="B135" s="1"/>
      <c r="C135" s="1"/>
      <c r="D135" s="1"/>
      <c r="E135" s="1"/>
      <c r="F135" s="1"/>
      <c r="G135" s="1"/>
      <c r="H135" s="1"/>
      <c r="I135" s="1"/>
      <c r="J135" s="1"/>
      <c r="K135" s="1"/>
      <c r="L135" s="1"/>
      <c r="M135" s="1"/>
      <c r="N135" s="1"/>
      <c r="O135" s="1"/>
    </row>
    <row r="136" ht="15.75" customHeight="1">
      <c r="B136" s="1"/>
      <c r="C136" s="1"/>
      <c r="D136" s="1"/>
      <c r="E136" s="1"/>
      <c r="F136" s="1"/>
      <c r="G136" s="1"/>
      <c r="H136" s="1"/>
      <c r="I136" s="1"/>
      <c r="J136" s="1"/>
      <c r="K136" s="1"/>
      <c r="L136" s="1"/>
      <c r="M136" s="1"/>
      <c r="N136" s="1"/>
      <c r="O136" s="1"/>
    </row>
    <row r="137" ht="15.75" customHeight="1">
      <c r="B137" s="1"/>
      <c r="C137" s="1"/>
      <c r="D137" s="1"/>
      <c r="E137" s="1"/>
      <c r="F137" s="1"/>
      <c r="G137" s="1"/>
      <c r="H137" s="1"/>
      <c r="I137" s="1"/>
      <c r="J137" s="1"/>
      <c r="K137" s="1"/>
      <c r="L137" s="1"/>
      <c r="M137" s="1"/>
      <c r="N137" s="1"/>
      <c r="O137" s="1"/>
    </row>
    <row r="138" ht="15.75" customHeight="1">
      <c r="B138" s="1"/>
      <c r="C138" s="1"/>
      <c r="D138" s="1"/>
      <c r="E138" s="1"/>
      <c r="F138" s="1"/>
      <c r="G138" s="1"/>
      <c r="H138" s="1"/>
      <c r="I138" s="1"/>
      <c r="J138" s="1"/>
      <c r="K138" s="1"/>
      <c r="L138" s="1"/>
      <c r="M138" s="1"/>
      <c r="N138" s="1"/>
      <c r="O138" s="1"/>
    </row>
    <row r="139" ht="15.75" customHeight="1">
      <c r="B139" s="1"/>
      <c r="C139" s="1"/>
      <c r="D139" s="1"/>
      <c r="E139" s="1"/>
      <c r="F139" s="1"/>
      <c r="G139" s="1"/>
      <c r="H139" s="1"/>
      <c r="I139" s="1"/>
      <c r="J139" s="1"/>
      <c r="K139" s="1"/>
      <c r="L139" s="1"/>
      <c r="M139" s="1"/>
      <c r="N139" s="1"/>
      <c r="O139" s="1"/>
    </row>
    <row r="140" ht="15.75" customHeight="1">
      <c r="B140" s="1"/>
      <c r="C140" s="1"/>
      <c r="D140" s="1"/>
      <c r="E140" s="1"/>
      <c r="F140" s="1"/>
      <c r="G140" s="1"/>
      <c r="H140" s="1"/>
      <c r="I140" s="1"/>
      <c r="J140" s="1"/>
      <c r="K140" s="1"/>
      <c r="L140" s="1"/>
      <c r="M140" s="1"/>
      <c r="N140" s="1"/>
      <c r="O140" s="1"/>
    </row>
    <row r="141" ht="15.75" customHeight="1">
      <c r="B141" s="1"/>
      <c r="C141" s="1"/>
      <c r="D141" s="1"/>
      <c r="E141" s="1"/>
      <c r="F141" s="1"/>
      <c r="G141" s="1"/>
      <c r="H141" s="1"/>
      <c r="I141" s="1"/>
      <c r="J141" s="1"/>
      <c r="K141" s="1"/>
      <c r="L141" s="1"/>
      <c r="M141" s="1"/>
      <c r="N141" s="1"/>
      <c r="O141" s="1"/>
    </row>
    <row r="142" ht="15.75" customHeight="1">
      <c r="B142" s="1"/>
      <c r="C142" s="1"/>
      <c r="D142" s="1"/>
      <c r="E142" s="1"/>
      <c r="F142" s="1"/>
      <c r="G142" s="1"/>
      <c r="H142" s="1"/>
      <c r="I142" s="1"/>
      <c r="J142" s="1"/>
      <c r="K142" s="1"/>
      <c r="L142" s="1"/>
      <c r="M142" s="1"/>
      <c r="N142" s="1"/>
      <c r="O142" s="1"/>
    </row>
    <row r="143" ht="15.75" customHeight="1">
      <c r="B143" s="1"/>
      <c r="C143" s="1"/>
      <c r="D143" s="1"/>
      <c r="E143" s="1"/>
      <c r="F143" s="1"/>
      <c r="G143" s="1"/>
      <c r="H143" s="1"/>
      <c r="I143" s="1"/>
      <c r="J143" s="1"/>
      <c r="K143" s="1"/>
      <c r="L143" s="1"/>
      <c r="M143" s="1"/>
      <c r="N143" s="1"/>
      <c r="O143" s="1"/>
    </row>
    <row r="144" ht="15.75" customHeight="1">
      <c r="B144" s="1"/>
      <c r="C144" s="1"/>
      <c r="D144" s="1"/>
      <c r="E144" s="1"/>
      <c r="F144" s="1"/>
      <c r="G144" s="1"/>
      <c r="H144" s="1"/>
      <c r="I144" s="1"/>
      <c r="J144" s="1"/>
      <c r="K144" s="1"/>
      <c r="L144" s="1"/>
      <c r="M144" s="1"/>
      <c r="N144" s="1"/>
      <c r="O144" s="1"/>
    </row>
    <row r="145" ht="15.75" customHeight="1">
      <c r="B145" s="1"/>
      <c r="C145" s="1"/>
      <c r="D145" s="1"/>
      <c r="E145" s="1"/>
      <c r="F145" s="1"/>
      <c r="G145" s="1"/>
      <c r="H145" s="1"/>
      <c r="I145" s="1"/>
      <c r="J145" s="1"/>
      <c r="K145" s="1"/>
      <c r="L145" s="1"/>
      <c r="M145" s="1"/>
      <c r="N145" s="1"/>
      <c r="O145" s="1"/>
    </row>
    <row r="146" ht="15.75" customHeight="1">
      <c r="B146" s="1"/>
      <c r="C146" s="1"/>
      <c r="D146" s="1"/>
      <c r="E146" s="1"/>
      <c r="F146" s="1"/>
      <c r="G146" s="1"/>
      <c r="H146" s="1"/>
      <c r="I146" s="1"/>
      <c r="J146" s="1"/>
      <c r="K146" s="1"/>
      <c r="L146" s="1"/>
      <c r="M146" s="1"/>
      <c r="N146" s="1"/>
      <c r="O146" s="1"/>
    </row>
    <row r="147" ht="15.75" customHeight="1">
      <c r="B147" s="1"/>
      <c r="C147" s="1"/>
      <c r="D147" s="1"/>
      <c r="E147" s="1"/>
      <c r="F147" s="1"/>
      <c r="G147" s="1"/>
      <c r="H147" s="1"/>
      <c r="I147" s="1"/>
      <c r="J147" s="1"/>
      <c r="K147" s="1"/>
      <c r="L147" s="1"/>
      <c r="M147" s="1"/>
      <c r="N147" s="1"/>
      <c r="O147" s="1"/>
    </row>
    <row r="148" ht="15.75" customHeight="1">
      <c r="B148" s="1"/>
      <c r="C148" s="1"/>
      <c r="D148" s="1"/>
      <c r="E148" s="1"/>
      <c r="F148" s="1"/>
      <c r="G148" s="1"/>
      <c r="H148" s="1"/>
      <c r="I148" s="1"/>
      <c r="J148" s="1"/>
      <c r="K148" s="1"/>
      <c r="L148" s="1"/>
      <c r="M148" s="1"/>
      <c r="N148" s="1"/>
      <c r="O148" s="1"/>
    </row>
    <row r="149" ht="15.75" customHeight="1">
      <c r="B149" s="1"/>
      <c r="C149" s="1"/>
      <c r="D149" s="1"/>
      <c r="E149" s="1"/>
      <c r="F149" s="1"/>
      <c r="G149" s="1"/>
      <c r="H149" s="1"/>
      <c r="I149" s="1"/>
      <c r="J149" s="1"/>
      <c r="K149" s="1"/>
      <c r="L149" s="1"/>
      <c r="M149" s="1"/>
      <c r="N149" s="1"/>
      <c r="O149" s="1"/>
    </row>
    <row r="150" ht="15.75" customHeight="1">
      <c r="B150" s="1"/>
      <c r="C150" s="1"/>
      <c r="D150" s="1"/>
      <c r="E150" s="1"/>
      <c r="F150" s="1"/>
      <c r="G150" s="1"/>
      <c r="H150" s="1"/>
      <c r="I150" s="1"/>
      <c r="J150" s="1"/>
      <c r="K150" s="1"/>
      <c r="L150" s="1"/>
      <c r="M150" s="1"/>
      <c r="N150" s="1"/>
      <c r="O150" s="1"/>
    </row>
    <row r="151" ht="15.75" customHeight="1">
      <c r="B151" s="1"/>
      <c r="C151" s="1"/>
      <c r="D151" s="1"/>
      <c r="E151" s="1"/>
      <c r="F151" s="1"/>
      <c r="G151" s="1"/>
      <c r="H151" s="1"/>
      <c r="I151" s="1"/>
      <c r="J151" s="1"/>
      <c r="K151" s="1"/>
      <c r="L151" s="1"/>
      <c r="M151" s="1"/>
      <c r="N151" s="1"/>
      <c r="O151" s="1"/>
    </row>
    <row r="152" ht="15.75" customHeight="1">
      <c r="B152" s="1"/>
      <c r="C152" s="1"/>
      <c r="D152" s="1"/>
      <c r="E152" s="1"/>
      <c r="F152" s="1"/>
      <c r="G152" s="1"/>
      <c r="H152" s="1"/>
      <c r="I152" s="1"/>
      <c r="J152" s="1"/>
      <c r="K152" s="1"/>
      <c r="L152" s="1"/>
      <c r="M152" s="1"/>
      <c r="N152" s="1"/>
      <c r="O152" s="1"/>
    </row>
    <row r="153" ht="15.75" customHeight="1">
      <c r="B153" s="1"/>
      <c r="C153" s="1"/>
      <c r="D153" s="1"/>
      <c r="E153" s="1"/>
      <c r="F153" s="1"/>
      <c r="G153" s="1"/>
      <c r="H153" s="1"/>
      <c r="I153" s="1"/>
      <c r="J153" s="1"/>
      <c r="K153" s="1"/>
      <c r="L153" s="1"/>
      <c r="M153" s="1"/>
      <c r="N153" s="1"/>
      <c r="O153" s="1"/>
    </row>
    <row r="154" ht="15.75" customHeight="1">
      <c r="B154" s="1"/>
      <c r="C154" s="1"/>
      <c r="D154" s="1"/>
      <c r="E154" s="1"/>
      <c r="F154" s="1"/>
      <c r="G154" s="1"/>
      <c r="H154" s="1"/>
      <c r="I154" s="1"/>
      <c r="J154" s="1"/>
      <c r="K154" s="1"/>
      <c r="L154" s="1"/>
      <c r="M154" s="1"/>
      <c r="N154" s="1"/>
      <c r="O154" s="1"/>
    </row>
    <row r="155" ht="15.75" customHeight="1">
      <c r="B155" s="1"/>
      <c r="C155" s="1"/>
      <c r="D155" s="1"/>
      <c r="E155" s="1"/>
      <c r="F155" s="1"/>
      <c r="G155" s="1"/>
      <c r="H155" s="1"/>
      <c r="I155" s="1"/>
      <c r="J155" s="1"/>
      <c r="K155" s="1"/>
      <c r="L155" s="1"/>
      <c r="M155" s="1"/>
      <c r="N155" s="1"/>
      <c r="O155" s="1"/>
    </row>
    <row r="156" ht="15.75" customHeight="1">
      <c r="B156" s="1"/>
      <c r="C156" s="1"/>
      <c r="D156" s="1"/>
      <c r="E156" s="1"/>
      <c r="F156" s="1"/>
      <c r="G156" s="1"/>
      <c r="H156" s="1"/>
      <c r="I156" s="1"/>
      <c r="J156" s="1"/>
      <c r="K156" s="1"/>
      <c r="L156" s="1"/>
      <c r="M156" s="1"/>
      <c r="N156" s="1"/>
      <c r="O156" s="1"/>
    </row>
    <row r="157" ht="15.75" customHeight="1">
      <c r="B157" s="1"/>
      <c r="C157" s="1"/>
      <c r="D157" s="1"/>
      <c r="E157" s="1"/>
      <c r="F157" s="1"/>
      <c r="G157" s="1"/>
      <c r="H157" s="1"/>
      <c r="I157" s="1"/>
      <c r="J157" s="1"/>
      <c r="K157" s="1"/>
      <c r="L157" s="1"/>
      <c r="M157" s="1"/>
      <c r="N157" s="1"/>
      <c r="O157" s="1"/>
    </row>
    <row r="158" ht="15.75" customHeight="1">
      <c r="B158" s="1"/>
      <c r="C158" s="1"/>
      <c r="D158" s="1"/>
      <c r="E158" s="1"/>
      <c r="F158" s="1"/>
      <c r="G158" s="1"/>
      <c r="H158" s="1"/>
      <c r="I158" s="1"/>
      <c r="J158" s="1"/>
      <c r="K158" s="1"/>
      <c r="L158" s="1"/>
      <c r="M158" s="1"/>
      <c r="N158" s="1"/>
      <c r="O158" s="1"/>
    </row>
    <row r="159" ht="15.75" customHeight="1">
      <c r="B159" s="1"/>
      <c r="C159" s="1"/>
      <c r="D159" s="1"/>
      <c r="E159" s="1"/>
      <c r="F159" s="1"/>
      <c r="G159" s="1"/>
      <c r="H159" s="1"/>
      <c r="I159" s="1"/>
      <c r="J159" s="1"/>
      <c r="K159" s="1"/>
      <c r="L159" s="1"/>
      <c r="M159" s="1"/>
      <c r="N159" s="1"/>
      <c r="O159" s="1"/>
    </row>
    <row r="160" ht="15.75" customHeight="1">
      <c r="B160" s="1"/>
      <c r="C160" s="1"/>
      <c r="D160" s="1"/>
      <c r="E160" s="1"/>
      <c r="F160" s="1"/>
      <c r="G160" s="1"/>
      <c r="H160" s="1"/>
      <c r="I160" s="1"/>
      <c r="J160" s="1"/>
      <c r="K160" s="1"/>
      <c r="L160" s="1"/>
      <c r="M160" s="1"/>
      <c r="N160" s="1"/>
      <c r="O160" s="1"/>
    </row>
    <row r="161" ht="15.75" customHeight="1">
      <c r="B161" s="1"/>
      <c r="C161" s="1"/>
      <c r="D161" s="1"/>
      <c r="E161" s="1"/>
      <c r="F161" s="1"/>
      <c r="G161" s="1"/>
      <c r="H161" s="1"/>
      <c r="I161" s="1"/>
      <c r="J161" s="1"/>
      <c r="K161" s="1"/>
      <c r="L161" s="1"/>
      <c r="M161" s="1"/>
      <c r="N161" s="1"/>
      <c r="O161" s="1"/>
    </row>
    <row r="162" ht="15.75" customHeight="1">
      <c r="B162" s="1"/>
      <c r="C162" s="1"/>
      <c r="D162" s="1"/>
      <c r="E162" s="1"/>
      <c r="F162" s="1"/>
      <c r="G162" s="1"/>
      <c r="H162" s="1"/>
      <c r="I162" s="1"/>
      <c r="J162" s="1"/>
      <c r="K162" s="1"/>
      <c r="L162" s="1"/>
      <c r="M162" s="1"/>
      <c r="N162" s="1"/>
      <c r="O162" s="1"/>
    </row>
    <row r="163" ht="15.75" customHeight="1">
      <c r="B163" s="1"/>
      <c r="C163" s="1"/>
      <c r="D163" s="1"/>
      <c r="E163" s="1"/>
      <c r="F163" s="1"/>
      <c r="G163" s="1"/>
      <c r="H163" s="1"/>
      <c r="I163" s="1"/>
      <c r="J163" s="1"/>
      <c r="K163" s="1"/>
      <c r="L163" s="1"/>
      <c r="M163" s="1"/>
      <c r="N163" s="1"/>
      <c r="O163" s="1"/>
    </row>
    <row r="164" ht="15.75" customHeight="1">
      <c r="B164" s="1"/>
      <c r="C164" s="1"/>
      <c r="D164" s="1"/>
      <c r="E164" s="1"/>
      <c r="F164" s="1"/>
      <c r="G164" s="1"/>
      <c r="H164" s="1"/>
      <c r="I164" s="1"/>
      <c r="J164" s="1"/>
      <c r="K164" s="1"/>
      <c r="L164" s="1"/>
      <c r="M164" s="1"/>
      <c r="N164" s="1"/>
      <c r="O164" s="1"/>
    </row>
    <row r="165" ht="15.75" customHeight="1">
      <c r="B165" s="1"/>
      <c r="C165" s="1"/>
      <c r="D165" s="1"/>
      <c r="E165" s="1"/>
      <c r="F165" s="1"/>
      <c r="G165" s="1"/>
      <c r="H165" s="1"/>
      <c r="I165" s="1"/>
      <c r="J165" s="1"/>
      <c r="K165" s="1"/>
      <c r="L165" s="1"/>
      <c r="M165" s="1"/>
      <c r="N165" s="1"/>
      <c r="O165" s="1"/>
    </row>
    <row r="166" ht="15.75" customHeight="1">
      <c r="B166" s="1"/>
      <c r="C166" s="1"/>
      <c r="D166" s="1"/>
      <c r="E166" s="1"/>
      <c r="F166" s="1"/>
      <c r="G166" s="1"/>
      <c r="H166" s="1"/>
      <c r="I166" s="1"/>
      <c r="J166" s="1"/>
      <c r="K166" s="1"/>
      <c r="L166" s="1"/>
      <c r="M166" s="1"/>
      <c r="N166" s="1"/>
      <c r="O166" s="1"/>
    </row>
    <row r="167" ht="15.75" customHeight="1">
      <c r="B167" s="1"/>
      <c r="C167" s="1"/>
      <c r="D167" s="1"/>
      <c r="E167" s="1"/>
      <c r="F167" s="1"/>
      <c r="G167" s="1"/>
      <c r="H167" s="1"/>
      <c r="I167" s="1"/>
      <c r="J167" s="1"/>
      <c r="K167" s="1"/>
      <c r="L167" s="1"/>
      <c r="M167" s="1"/>
      <c r="N167" s="1"/>
      <c r="O167" s="1"/>
    </row>
    <row r="168" ht="15.75" customHeight="1">
      <c r="B168" s="1"/>
      <c r="C168" s="1"/>
      <c r="D168" s="1"/>
      <c r="E168" s="1"/>
      <c r="F168" s="1"/>
      <c r="G168" s="1"/>
      <c r="H168" s="1"/>
      <c r="I168" s="1"/>
      <c r="J168" s="1"/>
      <c r="K168" s="1"/>
      <c r="L168" s="1"/>
      <c r="M168" s="1"/>
      <c r="N168" s="1"/>
      <c r="O168" s="1"/>
    </row>
    <row r="169" ht="15.75" customHeight="1">
      <c r="B169" s="1"/>
      <c r="C169" s="1"/>
      <c r="D169" s="1"/>
      <c r="E169" s="1"/>
      <c r="F169" s="1"/>
      <c r="G169" s="1"/>
      <c r="H169" s="1"/>
      <c r="I169" s="1"/>
      <c r="J169" s="1"/>
      <c r="K169" s="1"/>
      <c r="L169" s="1"/>
      <c r="M169" s="1"/>
      <c r="N169" s="1"/>
      <c r="O169" s="1"/>
    </row>
    <row r="170" ht="15.75" customHeight="1">
      <c r="B170" s="1"/>
      <c r="C170" s="1"/>
      <c r="D170" s="1"/>
      <c r="E170" s="1"/>
      <c r="F170" s="1"/>
      <c r="G170" s="1"/>
      <c r="H170" s="1"/>
      <c r="I170" s="1"/>
      <c r="J170" s="1"/>
      <c r="K170" s="1"/>
      <c r="L170" s="1"/>
      <c r="M170" s="1"/>
      <c r="N170" s="1"/>
      <c r="O170" s="1"/>
    </row>
    <row r="171" ht="15.75" customHeight="1">
      <c r="B171" s="1"/>
      <c r="C171" s="1"/>
      <c r="D171" s="1"/>
      <c r="E171" s="1"/>
      <c r="F171" s="1"/>
      <c r="G171" s="1"/>
      <c r="H171" s="1"/>
      <c r="I171" s="1"/>
      <c r="J171" s="1"/>
      <c r="K171" s="1"/>
      <c r="L171" s="1"/>
      <c r="M171" s="1"/>
      <c r="N171" s="1"/>
      <c r="O171" s="1"/>
    </row>
    <row r="172" ht="15.75" customHeight="1">
      <c r="B172" s="1"/>
      <c r="C172" s="1"/>
      <c r="D172" s="1"/>
      <c r="E172" s="1"/>
      <c r="F172" s="1"/>
      <c r="G172" s="1"/>
      <c r="H172" s="1"/>
      <c r="I172" s="1"/>
      <c r="J172" s="1"/>
      <c r="K172" s="1"/>
      <c r="L172" s="1"/>
      <c r="M172" s="1"/>
      <c r="N172" s="1"/>
      <c r="O172" s="1"/>
    </row>
    <row r="173" ht="15.75" customHeight="1">
      <c r="B173" s="1"/>
      <c r="C173" s="1"/>
      <c r="D173" s="1"/>
      <c r="E173" s="1"/>
      <c r="F173" s="1"/>
      <c r="G173" s="1"/>
      <c r="H173" s="1"/>
      <c r="I173" s="1"/>
      <c r="J173" s="1"/>
      <c r="K173" s="1"/>
      <c r="L173" s="1"/>
      <c r="M173" s="1"/>
      <c r="N173" s="1"/>
      <c r="O173" s="1"/>
    </row>
    <row r="174" ht="15.75" customHeight="1">
      <c r="B174" s="1"/>
      <c r="C174" s="1"/>
      <c r="D174" s="1"/>
      <c r="E174" s="1"/>
      <c r="F174" s="1"/>
      <c r="G174" s="1"/>
      <c r="H174" s="1"/>
      <c r="I174" s="1"/>
      <c r="J174" s="1"/>
      <c r="K174" s="1"/>
      <c r="L174" s="1"/>
      <c r="M174" s="1"/>
      <c r="N174" s="1"/>
      <c r="O174" s="1"/>
    </row>
    <row r="175" ht="15.75" customHeight="1">
      <c r="B175" s="1"/>
      <c r="C175" s="1"/>
      <c r="D175" s="1"/>
      <c r="E175" s="1"/>
      <c r="F175" s="1"/>
      <c r="G175" s="1"/>
      <c r="H175" s="1"/>
      <c r="I175" s="1"/>
      <c r="J175" s="1"/>
      <c r="K175" s="1"/>
      <c r="L175" s="1"/>
      <c r="M175" s="1"/>
      <c r="N175" s="1"/>
      <c r="O175" s="1"/>
    </row>
    <row r="176" ht="15.75" customHeight="1">
      <c r="B176" s="1"/>
      <c r="C176" s="1"/>
      <c r="D176" s="1"/>
      <c r="E176" s="1"/>
      <c r="F176" s="1"/>
      <c r="G176" s="1"/>
      <c r="H176" s="1"/>
      <c r="I176" s="1"/>
      <c r="J176" s="1"/>
      <c r="K176" s="1"/>
      <c r="L176" s="1"/>
      <c r="M176" s="1"/>
      <c r="N176" s="1"/>
      <c r="O176" s="1"/>
    </row>
    <row r="177" ht="15.75" customHeight="1">
      <c r="B177" s="1"/>
      <c r="C177" s="1"/>
      <c r="D177" s="1"/>
      <c r="E177" s="1"/>
      <c r="F177" s="1"/>
      <c r="G177" s="1"/>
      <c r="H177" s="1"/>
      <c r="I177" s="1"/>
      <c r="J177" s="1"/>
      <c r="K177" s="1"/>
      <c r="L177" s="1"/>
      <c r="M177" s="1"/>
      <c r="N177" s="1"/>
      <c r="O177" s="1"/>
    </row>
    <row r="178" ht="15.75" customHeight="1">
      <c r="B178" s="1"/>
      <c r="C178" s="1"/>
      <c r="D178" s="1"/>
      <c r="E178" s="1"/>
      <c r="F178" s="1"/>
      <c r="G178" s="1"/>
      <c r="H178" s="1"/>
      <c r="I178" s="1"/>
      <c r="J178" s="1"/>
      <c r="K178" s="1"/>
      <c r="L178" s="1"/>
      <c r="M178" s="1"/>
      <c r="N178" s="1"/>
      <c r="O178" s="1"/>
    </row>
    <row r="179" ht="15.75" customHeight="1">
      <c r="B179" s="1"/>
      <c r="C179" s="1"/>
      <c r="D179" s="1"/>
      <c r="E179" s="1"/>
      <c r="F179" s="1"/>
      <c r="G179" s="1"/>
      <c r="H179" s="1"/>
      <c r="I179" s="1"/>
      <c r="J179" s="1"/>
      <c r="K179" s="1"/>
      <c r="L179" s="1"/>
      <c r="M179" s="1"/>
      <c r="N179" s="1"/>
      <c r="O179" s="1"/>
    </row>
    <row r="180" ht="15.75" customHeight="1">
      <c r="B180" s="1"/>
      <c r="C180" s="1"/>
      <c r="D180" s="1"/>
      <c r="E180" s="1"/>
      <c r="F180" s="1"/>
      <c r="G180" s="1"/>
      <c r="H180" s="1"/>
      <c r="I180" s="1"/>
      <c r="J180" s="1"/>
      <c r="K180" s="1"/>
      <c r="L180" s="1"/>
      <c r="M180" s="1"/>
      <c r="N180" s="1"/>
      <c r="O180" s="1"/>
    </row>
    <row r="181" ht="15.75" customHeight="1">
      <c r="B181" s="1"/>
      <c r="C181" s="1"/>
      <c r="D181" s="1"/>
      <c r="E181" s="1"/>
      <c r="F181" s="1"/>
      <c r="G181" s="1"/>
      <c r="H181" s="1"/>
      <c r="I181" s="1"/>
      <c r="J181" s="1"/>
      <c r="K181" s="1"/>
      <c r="L181" s="1"/>
      <c r="M181" s="1"/>
      <c r="N181" s="1"/>
      <c r="O181" s="1"/>
    </row>
    <row r="182" ht="15.75" customHeight="1">
      <c r="B182" s="1"/>
      <c r="C182" s="1"/>
      <c r="D182" s="1"/>
      <c r="E182" s="1"/>
      <c r="F182" s="1"/>
      <c r="G182" s="1"/>
      <c r="H182" s="1"/>
      <c r="I182" s="1"/>
      <c r="J182" s="1"/>
      <c r="K182" s="1"/>
      <c r="L182" s="1"/>
      <c r="M182" s="1"/>
      <c r="N182" s="1"/>
      <c r="O182" s="1"/>
    </row>
    <row r="183" ht="15.75" customHeight="1">
      <c r="B183" s="1"/>
      <c r="C183" s="1"/>
      <c r="D183" s="1"/>
      <c r="E183" s="1"/>
      <c r="F183" s="1"/>
      <c r="G183" s="1"/>
      <c r="H183" s="1"/>
      <c r="I183" s="1"/>
      <c r="J183" s="1"/>
      <c r="K183" s="1"/>
      <c r="L183" s="1"/>
      <c r="M183" s="1"/>
      <c r="N183" s="1"/>
      <c r="O183" s="1"/>
    </row>
    <row r="184" ht="15.75" customHeight="1">
      <c r="B184" s="1"/>
      <c r="C184" s="1"/>
      <c r="D184" s="1"/>
      <c r="E184" s="1"/>
      <c r="F184" s="1"/>
      <c r="G184" s="1"/>
      <c r="H184" s="1"/>
      <c r="I184" s="1"/>
      <c r="J184" s="1"/>
      <c r="K184" s="1"/>
      <c r="L184" s="1"/>
      <c r="M184" s="1"/>
      <c r="N184" s="1"/>
      <c r="O184" s="1"/>
    </row>
    <row r="185" ht="15.75" customHeight="1">
      <c r="B185" s="1"/>
      <c r="C185" s="1"/>
      <c r="D185" s="1"/>
      <c r="E185" s="1"/>
      <c r="F185" s="1"/>
      <c r="G185" s="1"/>
      <c r="H185" s="1"/>
      <c r="I185" s="1"/>
      <c r="J185" s="1"/>
      <c r="K185" s="1"/>
      <c r="L185" s="1"/>
      <c r="M185" s="1"/>
      <c r="N185" s="1"/>
      <c r="O185" s="1"/>
    </row>
    <row r="186" ht="15.75" customHeight="1">
      <c r="B186" s="1"/>
      <c r="C186" s="1"/>
      <c r="D186" s="1"/>
      <c r="E186" s="1"/>
      <c r="F186" s="1"/>
      <c r="G186" s="1"/>
      <c r="H186" s="1"/>
      <c r="I186" s="1"/>
      <c r="J186" s="1"/>
      <c r="K186" s="1"/>
      <c r="L186" s="1"/>
      <c r="M186" s="1"/>
      <c r="N186" s="1"/>
      <c r="O186" s="1"/>
    </row>
    <row r="187" ht="15.75" customHeight="1">
      <c r="B187" s="1"/>
      <c r="C187" s="1"/>
      <c r="D187" s="1"/>
      <c r="E187" s="1"/>
      <c r="F187" s="1"/>
      <c r="G187" s="1"/>
      <c r="H187" s="1"/>
      <c r="I187" s="1"/>
      <c r="J187" s="1"/>
      <c r="K187" s="1"/>
      <c r="L187" s="1"/>
      <c r="M187" s="1"/>
      <c r="N187" s="1"/>
      <c r="O187" s="1"/>
    </row>
    <row r="188" ht="15.75" customHeight="1">
      <c r="B188" s="1"/>
      <c r="C188" s="1"/>
      <c r="D188" s="1"/>
      <c r="E188" s="1"/>
      <c r="F188" s="1"/>
      <c r="G188" s="1"/>
      <c r="H188" s="1"/>
      <c r="I188" s="1"/>
      <c r="J188" s="1"/>
      <c r="K188" s="1"/>
      <c r="L188" s="1"/>
      <c r="M188" s="1"/>
      <c r="N188" s="1"/>
      <c r="O188" s="1"/>
    </row>
    <row r="189" ht="15.75" customHeight="1">
      <c r="B189" s="1"/>
      <c r="C189" s="1"/>
      <c r="D189" s="1"/>
      <c r="E189" s="1"/>
      <c r="F189" s="1"/>
      <c r="G189" s="1"/>
      <c r="H189" s="1"/>
      <c r="I189" s="1"/>
      <c r="J189" s="1"/>
      <c r="K189" s="1"/>
      <c r="L189" s="1"/>
      <c r="M189" s="1"/>
      <c r="N189" s="1"/>
      <c r="O189" s="1"/>
    </row>
    <row r="190" ht="15.75" customHeight="1">
      <c r="B190" s="1"/>
      <c r="C190" s="1"/>
      <c r="D190" s="1"/>
      <c r="E190" s="1"/>
      <c r="F190" s="1"/>
      <c r="G190" s="1"/>
      <c r="H190" s="1"/>
      <c r="I190" s="1"/>
      <c r="J190" s="1"/>
      <c r="K190" s="1"/>
      <c r="L190" s="1"/>
      <c r="M190" s="1"/>
      <c r="N190" s="1"/>
      <c r="O190" s="1"/>
    </row>
    <row r="191" ht="15.75" customHeight="1">
      <c r="B191" s="1"/>
      <c r="C191" s="1"/>
      <c r="D191" s="1"/>
      <c r="E191" s="1"/>
      <c r="F191" s="1"/>
      <c r="G191" s="1"/>
      <c r="H191" s="1"/>
      <c r="I191" s="1"/>
      <c r="J191" s="1"/>
      <c r="K191" s="1"/>
      <c r="L191" s="1"/>
      <c r="M191" s="1"/>
      <c r="N191" s="1"/>
      <c r="O191" s="1"/>
    </row>
    <row r="192" ht="15.75" customHeight="1">
      <c r="B192" s="1"/>
      <c r="C192" s="1"/>
      <c r="D192" s="1"/>
      <c r="E192" s="1"/>
      <c r="F192" s="1"/>
      <c r="G192" s="1"/>
      <c r="H192" s="1"/>
      <c r="I192" s="1"/>
      <c r="J192" s="1"/>
      <c r="K192" s="1"/>
      <c r="L192" s="1"/>
      <c r="M192" s="1"/>
      <c r="N192" s="1"/>
      <c r="O192" s="1"/>
    </row>
    <row r="193" ht="15.75" customHeight="1">
      <c r="B193" s="1"/>
      <c r="C193" s="1"/>
      <c r="D193" s="1"/>
      <c r="E193" s="1"/>
      <c r="F193" s="1"/>
      <c r="G193" s="1"/>
      <c r="H193" s="1"/>
      <c r="I193" s="1"/>
      <c r="J193" s="1"/>
      <c r="K193" s="1"/>
      <c r="L193" s="1"/>
      <c r="M193" s="1"/>
      <c r="N193" s="1"/>
      <c r="O193" s="1"/>
    </row>
    <row r="194" ht="15.75" customHeight="1">
      <c r="B194" s="1"/>
      <c r="C194" s="1"/>
      <c r="D194" s="1"/>
      <c r="E194" s="1"/>
      <c r="F194" s="1"/>
      <c r="G194" s="1"/>
      <c r="H194" s="1"/>
      <c r="I194" s="1"/>
      <c r="J194" s="1"/>
      <c r="K194" s="1"/>
      <c r="L194" s="1"/>
      <c r="M194" s="1"/>
      <c r="N194" s="1"/>
      <c r="O194" s="1"/>
    </row>
    <row r="195" ht="15.75" customHeight="1">
      <c r="B195" s="1"/>
      <c r="C195" s="1"/>
      <c r="D195" s="1"/>
      <c r="E195" s="1"/>
      <c r="F195" s="1"/>
      <c r="G195" s="1"/>
      <c r="H195" s="1"/>
      <c r="I195" s="1"/>
      <c r="J195" s="1"/>
      <c r="K195" s="1"/>
      <c r="L195" s="1"/>
      <c r="M195" s="1"/>
      <c r="N195" s="1"/>
      <c r="O195" s="1"/>
    </row>
    <row r="196" ht="15.75" customHeight="1">
      <c r="B196" s="1"/>
      <c r="C196" s="1"/>
      <c r="D196" s="1"/>
      <c r="E196" s="1"/>
      <c r="F196" s="1"/>
      <c r="G196" s="1"/>
      <c r="H196" s="1"/>
      <c r="I196" s="1"/>
      <c r="J196" s="1"/>
      <c r="K196" s="1"/>
      <c r="L196" s="1"/>
      <c r="M196" s="1"/>
      <c r="N196" s="1"/>
      <c r="O196" s="1"/>
    </row>
    <row r="197" ht="15.75" customHeight="1">
      <c r="B197" s="1"/>
      <c r="C197" s="1"/>
      <c r="D197" s="1"/>
      <c r="E197" s="1"/>
      <c r="F197" s="1"/>
      <c r="G197" s="1"/>
      <c r="H197" s="1"/>
      <c r="I197" s="1"/>
      <c r="J197" s="1"/>
      <c r="K197" s="1"/>
      <c r="L197" s="1"/>
      <c r="M197" s="1"/>
      <c r="N197" s="1"/>
      <c r="O197" s="1"/>
    </row>
    <row r="198" ht="15.75" customHeight="1">
      <c r="B198" s="1"/>
      <c r="C198" s="1"/>
      <c r="D198" s="1"/>
      <c r="E198" s="1"/>
      <c r="F198" s="1"/>
      <c r="G198" s="1"/>
      <c r="H198" s="1"/>
      <c r="I198" s="1"/>
      <c r="J198" s="1"/>
      <c r="K198" s="1"/>
      <c r="L198" s="1"/>
      <c r="M198" s="1"/>
      <c r="N198" s="1"/>
      <c r="O198" s="1"/>
    </row>
    <row r="199" ht="15.75" customHeight="1">
      <c r="B199" s="1"/>
      <c r="C199" s="1"/>
      <c r="D199" s="1"/>
      <c r="E199" s="1"/>
      <c r="F199" s="1"/>
      <c r="G199" s="1"/>
      <c r="H199" s="1"/>
      <c r="I199" s="1"/>
      <c r="J199" s="1"/>
      <c r="K199" s="1"/>
      <c r="L199" s="1"/>
      <c r="M199" s="1"/>
      <c r="N199" s="1"/>
      <c r="O199" s="1"/>
    </row>
    <row r="200" ht="15.75" customHeight="1">
      <c r="B200" s="1"/>
      <c r="C200" s="1"/>
      <c r="D200" s="1"/>
      <c r="E200" s="1"/>
      <c r="F200" s="1"/>
      <c r="G200" s="1"/>
      <c r="H200" s="1"/>
      <c r="I200" s="1"/>
      <c r="J200" s="1"/>
      <c r="K200" s="1"/>
      <c r="L200" s="1"/>
      <c r="M200" s="1"/>
      <c r="N200" s="1"/>
      <c r="O200" s="1"/>
    </row>
    <row r="201" ht="15.75" customHeight="1">
      <c r="B201" s="1"/>
      <c r="C201" s="1"/>
      <c r="D201" s="1"/>
      <c r="E201" s="1"/>
      <c r="F201" s="1"/>
      <c r="G201" s="1"/>
      <c r="H201" s="1"/>
      <c r="I201" s="1"/>
      <c r="J201" s="1"/>
      <c r="K201" s="1"/>
      <c r="L201" s="1"/>
      <c r="M201" s="1"/>
      <c r="N201" s="1"/>
      <c r="O201" s="1"/>
    </row>
    <row r="202" ht="15.75" customHeight="1">
      <c r="B202" s="1"/>
      <c r="C202" s="1"/>
      <c r="D202" s="1"/>
      <c r="E202" s="1"/>
      <c r="F202" s="1"/>
      <c r="G202" s="1"/>
      <c r="H202" s="1"/>
      <c r="I202" s="1"/>
      <c r="J202" s="1"/>
      <c r="K202" s="1"/>
      <c r="L202" s="1"/>
      <c r="M202" s="1"/>
      <c r="N202" s="1"/>
      <c r="O202" s="1"/>
    </row>
    <row r="203" ht="15.75" customHeight="1">
      <c r="B203" s="1"/>
      <c r="C203" s="1"/>
      <c r="D203" s="1"/>
      <c r="E203" s="1"/>
      <c r="F203" s="1"/>
      <c r="G203" s="1"/>
      <c r="H203" s="1"/>
      <c r="I203" s="1"/>
      <c r="J203" s="1"/>
      <c r="K203" s="1"/>
      <c r="L203" s="1"/>
      <c r="M203" s="1"/>
      <c r="N203" s="1"/>
      <c r="O203" s="1"/>
    </row>
    <row r="204" ht="15.75" customHeight="1">
      <c r="B204" s="1"/>
      <c r="C204" s="1"/>
      <c r="D204" s="1"/>
      <c r="E204" s="1"/>
      <c r="F204" s="1"/>
      <c r="G204" s="1"/>
      <c r="H204" s="1"/>
      <c r="I204" s="1"/>
      <c r="J204" s="1"/>
      <c r="K204" s="1"/>
      <c r="L204" s="1"/>
      <c r="M204" s="1"/>
      <c r="N204" s="1"/>
      <c r="O204" s="1"/>
    </row>
    <row r="205" ht="15.75" customHeight="1">
      <c r="B205" s="1"/>
      <c r="C205" s="1"/>
      <c r="D205" s="1"/>
      <c r="E205" s="1"/>
      <c r="F205" s="1"/>
      <c r="G205" s="1"/>
      <c r="H205" s="1"/>
      <c r="I205" s="1"/>
      <c r="J205" s="1"/>
      <c r="K205" s="1"/>
      <c r="L205" s="1"/>
      <c r="M205" s="1"/>
      <c r="N205" s="1"/>
      <c r="O205" s="1"/>
    </row>
    <row r="206" ht="15.75" customHeight="1">
      <c r="B206" s="1"/>
      <c r="C206" s="1"/>
      <c r="D206" s="1"/>
      <c r="E206" s="1"/>
      <c r="F206" s="1"/>
      <c r="G206" s="1"/>
      <c r="H206" s="1"/>
      <c r="I206" s="1"/>
      <c r="J206" s="1"/>
      <c r="K206" s="1"/>
      <c r="L206" s="1"/>
      <c r="M206" s="1"/>
      <c r="N206" s="1"/>
      <c r="O206" s="1"/>
    </row>
    <row r="207" ht="15.75" customHeight="1">
      <c r="B207" s="1"/>
      <c r="C207" s="1"/>
      <c r="D207" s="1"/>
      <c r="E207" s="1"/>
      <c r="F207" s="1"/>
      <c r="G207" s="1"/>
      <c r="H207" s="1"/>
      <c r="I207" s="1"/>
      <c r="J207" s="1"/>
      <c r="K207" s="1"/>
      <c r="L207" s="1"/>
      <c r="M207" s="1"/>
      <c r="N207" s="1"/>
      <c r="O207" s="1"/>
    </row>
    <row r="208" ht="15.75" customHeight="1">
      <c r="B208" s="1"/>
      <c r="C208" s="1"/>
      <c r="D208" s="1"/>
      <c r="E208" s="1"/>
      <c r="F208" s="1"/>
      <c r="G208" s="1"/>
      <c r="H208" s="1"/>
      <c r="I208" s="1"/>
      <c r="J208" s="1"/>
      <c r="K208" s="1"/>
      <c r="L208" s="1"/>
      <c r="M208" s="1"/>
      <c r="N208" s="1"/>
      <c r="O208" s="1"/>
    </row>
    <row r="209" ht="15.75" customHeight="1">
      <c r="B209" s="1"/>
      <c r="C209" s="1"/>
      <c r="D209" s="1"/>
      <c r="E209" s="1"/>
      <c r="F209" s="1"/>
      <c r="G209" s="1"/>
      <c r="H209" s="1"/>
      <c r="I209" s="1"/>
      <c r="J209" s="1"/>
      <c r="K209" s="1"/>
      <c r="L209" s="1"/>
      <c r="M209" s="1"/>
      <c r="N209" s="1"/>
      <c r="O209" s="1"/>
    </row>
    <row r="210" ht="15.75" customHeight="1">
      <c r="B210" s="1"/>
      <c r="C210" s="1"/>
      <c r="D210" s="1"/>
      <c r="E210" s="1"/>
      <c r="F210" s="1"/>
      <c r="G210" s="1"/>
      <c r="H210" s="1"/>
      <c r="I210" s="1"/>
      <c r="J210" s="1"/>
      <c r="K210" s="1"/>
      <c r="L210" s="1"/>
      <c r="M210" s="1"/>
      <c r="N210" s="1"/>
      <c r="O210" s="1"/>
    </row>
    <row r="211" ht="15.75" customHeight="1">
      <c r="B211" s="1"/>
      <c r="C211" s="1"/>
      <c r="D211" s="1"/>
      <c r="E211" s="1"/>
      <c r="F211" s="1"/>
      <c r="G211" s="1"/>
      <c r="H211" s="1"/>
      <c r="I211" s="1"/>
      <c r="J211" s="1"/>
      <c r="K211" s="1"/>
      <c r="L211" s="1"/>
      <c r="M211" s="1"/>
      <c r="N211" s="1"/>
      <c r="O211" s="1"/>
    </row>
    <row r="212" ht="15.75" customHeight="1">
      <c r="B212" s="1"/>
      <c r="C212" s="1"/>
      <c r="D212" s="1"/>
      <c r="E212" s="1"/>
      <c r="F212" s="1"/>
      <c r="G212" s="1"/>
      <c r="H212" s="1"/>
      <c r="I212" s="1"/>
      <c r="J212" s="1"/>
      <c r="K212" s="1"/>
      <c r="L212" s="1"/>
      <c r="M212" s="1"/>
      <c r="N212" s="1"/>
      <c r="O212" s="1"/>
    </row>
    <row r="213" ht="15.75" customHeight="1">
      <c r="B213" s="1"/>
      <c r="C213" s="1"/>
      <c r="D213" s="1"/>
      <c r="E213" s="1"/>
      <c r="F213" s="1"/>
      <c r="G213" s="1"/>
      <c r="H213" s="1"/>
      <c r="I213" s="1"/>
      <c r="J213" s="1"/>
      <c r="K213" s="1"/>
      <c r="L213" s="1"/>
      <c r="M213" s="1"/>
      <c r="N213" s="1"/>
      <c r="O213" s="1"/>
    </row>
    <row r="214" ht="15.75" customHeight="1">
      <c r="B214" s="1"/>
      <c r="C214" s="1"/>
      <c r="D214" s="1"/>
      <c r="E214" s="1"/>
      <c r="F214" s="1"/>
      <c r="G214" s="1"/>
      <c r="H214" s="1"/>
      <c r="I214" s="1"/>
      <c r="J214" s="1"/>
      <c r="K214" s="1"/>
      <c r="L214" s="1"/>
      <c r="M214" s="1"/>
      <c r="N214" s="1"/>
      <c r="O214" s="1"/>
    </row>
    <row r="215" ht="15.75" customHeight="1">
      <c r="B215" s="1"/>
      <c r="C215" s="1"/>
      <c r="D215" s="1"/>
      <c r="E215" s="1"/>
      <c r="F215" s="1"/>
      <c r="G215" s="1"/>
      <c r="H215" s="1"/>
      <c r="I215" s="1"/>
      <c r="J215" s="1"/>
      <c r="K215" s="1"/>
      <c r="L215" s="1"/>
      <c r="M215" s="1"/>
      <c r="N215" s="1"/>
      <c r="O215" s="1"/>
    </row>
    <row r="216" ht="15.75" customHeight="1">
      <c r="B216" s="1"/>
      <c r="C216" s="1"/>
      <c r="D216" s="1"/>
      <c r="E216" s="1"/>
      <c r="F216" s="1"/>
      <c r="G216" s="1"/>
      <c r="H216" s="1"/>
      <c r="I216" s="1"/>
      <c r="J216" s="1"/>
      <c r="K216" s="1"/>
      <c r="L216" s="1"/>
      <c r="M216" s="1"/>
      <c r="N216" s="1"/>
      <c r="O216" s="1"/>
    </row>
    <row r="217" ht="15.75" customHeight="1">
      <c r="B217" s="1"/>
      <c r="C217" s="1"/>
      <c r="D217" s="1"/>
      <c r="E217" s="1"/>
      <c r="F217" s="1"/>
      <c r="G217" s="1"/>
      <c r="H217" s="1"/>
      <c r="I217" s="1"/>
      <c r="J217" s="1"/>
      <c r="K217" s="1"/>
      <c r="L217" s="1"/>
      <c r="M217" s="1"/>
      <c r="N217" s="1"/>
      <c r="O217" s="1"/>
    </row>
    <row r="218" ht="15.75" customHeight="1">
      <c r="B218" s="1"/>
      <c r="C218" s="1"/>
      <c r="D218" s="1"/>
      <c r="E218" s="1"/>
      <c r="F218" s="1"/>
      <c r="G218" s="1"/>
      <c r="H218" s="1"/>
      <c r="I218" s="1"/>
      <c r="J218" s="1"/>
      <c r="K218" s="1"/>
      <c r="L218" s="1"/>
      <c r="M218" s="1"/>
      <c r="N218" s="1"/>
      <c r="O218" s="1"/>
    </row>
    <row r="219" ht="15.75" customHeight="1">
      <c r="B219" s="1"/>
      <c r="C219" s="1"/>
      <c r="D219" s="1"/>
      <c r="E219" s="1"/>
      <c r="F219" s="1"/>
      <c r="G219" s="1"/>
      <c r="H219" s="1"/>
      <c r="I219" s="1"/>
      <c r="J219" s="1"/>
      <c r="K219" s="1"/>
      <c r="L219" s="1"/>
      <c r="M219" s="1"/>
      <c r="N219" s="1"/>
      <c r="O219" s="1"/>
    </row>
    <row r="220" ht="15.75" customHeight="1">
      <c r="B220" s="1"/>
      <c r="C220" s="1"/>
      <c r="D220" s="1"/>
      <c r="E220" s="1"/>
      <c r="F220" s="1"/>
      <c r="G220" s="1"/>
      <c r="H220" s="1"/>
      <c r="I220" s="1"/>
      <c r="J220" s="1"/>
      <c r="K220" s="1"/>
      <c r="L220" s="1"/>
      <c r="M220" s="1"/>
      <c r="N220" s="1"/>
      <c r="O220" s="1"/>
    </row>
    <row r="221" ht="15.75" customHeight="1">
      <c r="B221" s="1"/>
      <c r="C221" s="1"/>
      <c r="D221" s="1"/>
      <c r="E221" s="1"/>
      <c r="F221" s="1"/>
      <c r="G221" s="1"/>
      <c r="H221" s="1"/>
      <c r="I221" s="1"/>
      <c r="J221" s="1"/>
      <c r="K221" s="1"/>
      <c r="L221" s="1"/>
      <c r="M221" s="1"/>
      <c r="N221" s="1"/>
      <c r="O221" s="1"/>
    </row>
    <row r="222" ht="15.75" customHeight="1">
      <c r="B222" s="1"/>
      <c r="C222" s="1"/>
      <c r="D222" s="1"/>
      <c r="E222" s="1"/>
      <c r="F222" s="1"/>
      <c r="G222" s="1"/>
      <c r="H222" s="1"/>
      <c r="I222" s="1"/>
      <c r="J222" s="1"/>
      <c r="K222" s="1"/>
      <c r="L222" s="1"/>
      <c r="M222" s="1"/>
      <c r="N222" s="1"/>
      <c r="O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O1"/>
    <mergeCell ref="B2:O2"/>
    <mergeCell ref="J3:L3"/>
    <mergeCell ref="B5:O5"/>
    <mergeCell ref="B11:O11"/>
    <mergeCell ref="B17:O1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s>
  <sheetData>
    <row r="1" ht="21.75" customHeight="1">
      <c r="B1" s="2" t="s">
        <v>2</v>
      </c>
      <c r="C1" s="3"/>
      <c r="D1" s="3"/>
      <c r="E1" s="3"/>
      <c r="F1" s="3"/>
      <c r="G1" s="3"/>
      <c r="H1" s="3"/>
      <c r="I1" s="5"/>
      <c r="K1" s="1"/>
      <c r="L1" s="1"/>
      <c r="M1" s="1"/>
      <c r="N1" s="1"/>
      <c r="O1" s="1"/>
      <c r="P1" s="1"/>
      <c r="Q1" s="1"/>
      <c r="S1" s="1"/>
      <c r="T1" s="1"/>
      <c r="U1" s="1"/>
      <c r="V1" s="1"/>
      <c r="W1" s="1"/>
      <c r="X1" s="1"/>
    </row>
    <row r="2" ht="15.75" customHeight="1">
      <c r="B2" s="6" t="s">
        <v>10</v>
      </c>
      <c r="C2" s="3"/>
      <c r="D2" s="3"/>
      <c r="E2" s="3"/>
      <c r="F2" s="3"/>
      <c r="G2" s="3"/>
      <c r="H2" s="3"/>
      <c r="I2" s="5"/>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2" t="s">
        <v>42</v>
      </c>
      <c r="C4" s="1"/>
      <c r="D4" s="1"/>
      <c r="E4" s="1"/>
      <c r="F4" s="1"/>
      <c r="G4" s="1"/>
      <c r="H4" s="1"/>
      <c r="I4" s="1"/>
      <c r="K4" s="12" t="s">
        <v>43</v>
      </c>
      <c r="L4" s="1"/>
      <c r="M4" s="1"/>
      <c r="N4" s="1"/>
      <c r="O4" s="1"/>
      <c r="P4" s="1"/>
      <c r="Q4" s="1"/>
      <c r="S4" s="12" t="s">
        <v>44</v>
      </c>
      <c r="T4" s="1"/>
      <c r="U4" s="1"/>
      <c r="V4" s="1"/>
      <c r="W4" s="1"/>
      <c r="X4" s="1"/>
    </row>
    <row r="5" ht="34.5" customHeight="1">
      <c r="B5" s="10" t="s">
        <v>15</v>
      </c>
      <c r="C5" s="10" t="s">
        <v>19</v>
      </c>
      <c r="D5" s="10" t="s">
        <v>18</v>
      </c>
      <c r="E5" s="10" t="s">
        <v>45</v>
      </c>
      <c r="F5" s="10" t="s">
        <v>46</v>
      </c>
      <c r="G5" s="10" t="s">
        <v>48</v>
      </c>
      <c r="H5" s="10" t="s">
        <v>49</v>
      </c>
      <c r="I5" s="10" t="s">
        <v>50</v>
      </c>
      <c r="K5" s="20" t="s">
        <v>52</v>
      </c>
      <c r="L5" s="10">
        <v>1.0</v>
      </c>
      <c r="M5" s="10">
        <v>2.0</v>
      </c>
      <c r="N5" s="10">
        <v>3.0</v>
      </c>
      <c r="O5" s="10">
        <v>4.0</v>
      </c>
      <c r="P5" s="10">
        <v>5.0</v>
      </c>
      <c r="Q5" s="20" t="s">
        <v>57</v>
      </c>
      <c r="S5" s="21" t="s">
        <v>59</v>
      </c>
    </row>
    <row r="6" ht="15.0" customHeight="1">
      <c r="B6" s="22">
        <v>1.0</v>
      </c>
      <c r="C6" s="19" t="s">
        <v>51</v>
      </c>
      <c r="D6" s="22" t="s">
        <v>47</v>
      </c>
      <c r="E6" s="23">
        <v>4.0</v>
      </c>
      <c r="F6" s="23">
        <v>4.0</v>
      </c>
      <c r="G6" s="23">
        <v>5.0</v>
      </c>
      <c r="H6" s="24" t="str">
        <f t="shared" ref="H6:H20" si="1">IF(AND(E6&lt;&gt;"",F6&lt;&gt;""),IF(E6=F6,"agree","disagree"),"")</f>
        <v>agree</v>
      </c>
      <c r="I6" s="24" t="str">
        <f t="shared" ref="I6:I20" si="2">IF(AND(E6&lt;&gt;"",F6&lt;&gt;"",G6&lt;&gt;""),IF(ROUND((E6+F6)/2,0)=G6,"agree","disagree"),"")</f>
        <v>disagree</v>
      </c>
      <c r="K6" s="25">
        <v>1.0</v>
      </c>
      <c r="L6" s="24">
        <f>SUMPRODUCT((E$6:E$20=1)*(F$6:F$20=1))</f>
        <v>0</v>
      </c>
      <c r="M6" s="24">
        <f>SUMPRODUCT((E$6:E$20=1)*(F$6:F$20=2))</f>
        <v>0</v>
      </c>
      <c r="N6" s="24">
        <f>SUMPRODUCT((E$6:E$20=1)*(F$6:F$20=3))</f>
        <v>0</v>
      </c>
      <c r="O6" s="24">
        <f>SUMPRODUCT((E$6:E$20=1)*(F$6:F$20=4))</f>
        <v>0</v>
      </c>
      <c r="P6" s="24">
        <f>SUMPRODUCT((E$6:E$20=1)*(F$6:F$20=5))</f>
        <v>0</v>
      </c>
      <c r="Q6" s="25">
        <f t="shared" ref="Q6:Q10" si="3">SUM(L6:P6)</f>
        <v>0</v>
      </c>
      <c r="S6" s="20" t="s">
        <v>80</v>
      </c>
      <c r="T6" s="10">
        <v>1.0</v>
      </c>
      <c r="U6" s="10">
        <v>2.0</v>
      </c>
      <c r="V6" s="10">
        <v>3.0</v>
      </c>
      <c r="W6" s="10">
        <v>4.0</v>
      </c>
      <c r="X6" s="10">
        <v>5.0</v>
      </c>
    </row>
    <row r="7" ht="15.0" customHeight="1">
      <c r="B7" s="22">
        <v>2.0</v>
      </c>
      <c r="C7" s="19" t="s">
        <v>60</v>
      </c>
      <c r="D7" s="22" t="s">
        <v>47</v>
      </c>
      <c r="E7" s="23">
        <v>5.0</v>
      </c>
      <c r="F7" s="23">
        <v>5.0</v>
      </c>
      <c r="G7" s="23">
        <v>5.0</v>
      </c>
      <c r="H7" s="24" t="str">
        <f t="shared" si="1"/>
        <v>agree</v>
      </c>
      <c r="I7" s="24" t="str">
        <f t="shared" si="2"/>
        <v>agree</v>
      </c>
      <c r="K7" s="25">
        <v>2.0</v>
      </c>
      <c r="L7" s="24">
        <f>SUMPRODUCT((E$6:E$20=2)*(F$6:F$20=1))</f>
        <v>0</v>
      </c>
      <c r="M7" s="24">
        <f>SUMPRODUCT((E$6:E$20=2)*(F$6:F$20=2))</f>
        <v>0</v>
      </c>
      <c r="N7" s="24">
        <f>SUMPRODUCT((E$6:E$20=2)*(F$6:F$20=3))</f>
        <v>0</v>
      </c>
      <c r="O7" s="24">
        <f>SUMPRODUCT((E$6:E$20=2)*(F$6:F$20=4))</f>
        <v>0</v>
      </c>
      <c r="P7" s="24">
        <f>SUMPRODUCT((E$6:E$20=2)*(F$6:F$20=5))</f>
        <v>0</v>
      </c>
      <c r="Q7" s="25">
        <f t="shared" si="3"/>
        <v>0</v>
      </c>
      <c r="S7" s="20">
        <v>1.0</v>
      </c>
      <c r="T7" s="24">
        <v>1.0</v>
      </c>
      <c r="U7" s="24">
        <v>0.9375</v>
      </c>
      <c r="V7" s="24">
        <v>0.75</v>
      </c>
      <c r="W7" s="24">
        <v>0.4375</v>
      </c>
      <c r="X7" s="24">
        <v>0.0</v>
      </c>
    </row>
    <row r="8" ht="15.0" customHeight="1">
      <c r="B8" s="22">
        <v>3.0</v>
      </c>
      <c r="C8" s="19" t="s">
        <v>66</v>
      </c>
      <c r="D8" s="22" t="s">
        <v>47</v>
      </c>
      <c r="E8" s="23">
        <v>5.0</v>
      </c>
      <c r="F8" s="23">
        <v>4.0</v>
      </c>
      <c r="G8" s="23">
        <v>5.0</v>
      </c>
      <c r="H8" s="24" t="str">
        <f t="shared" si="1"/>
        <v>disagree</v>
      </c>
      <c r="I8" s="24" t="str">
        <f t="shared" si="2"/>
        <v>agree</v>
      </c>
      <c r="K8" s="25">
        <v>3.0</v>
      </c>
      <c r="L8" s="24">
        <f>SUMPRODUCT((E$6:E$20=3)*(F$6:F$20=1))</f>
        <v>0</v>
      </c>
      <c r="M8" s="24">
        <f>SUMPRODUCT((E$6:E$20=3)*(F$6:F$20=2))</f>
        <v>0</v>
      </c>
      <c r="N8" s="24">
        <f>SUMPRODUCT((E$6:E$20=3)*(F$6:F$20=3))</f>
        <v>0</v>
      </c>
      <c r="O8" s="24">
        <f>SUMPRODUCT((E$6:E$20=3)*(F$6:F$20=4))</f>
        <v>0</v>
      </c>
      <c r="P8" s="24">
        <f>SUMPRODUCT((E$6:E$20=3)*(F$6:F$20=5))</f>
        <v>0</v>
      </c>
      <c r="Q8" s="25">
        <f t="shared" si="3"/>
        <v>0</v>
      </c>
      <c r="S8" s="20">
        <v>2.0</v>
      </c>
      <c r="T8" s="24">
        <v>0.9375</v>
      </c>
      <c r="U8" s="24">
        <v>1.0</v>
      </c>
      <c r="V8" s="24">
        <v>0.9375</v>
      </c>
      <c r="W8" s="24">
        <v>0.75</v>
      </c>
      <c r="X8" s="24">
        <v>0.4375</v>
      </c>
    </row>
    <row r="9" ht="15.0" customHeight="1">
      <c r="B9" s="22">
        <v>4.0</v>
      </c>
      <c r="C9" s="19" t="s">
        <v>71</v>
      </c>
      <c r="D9" s="22" t="s">
        <v>47</v>
      </c>
      <c r="E9" s="23">
        <v>5.0</v>
      </c>
      <c r="F9" s="23">
        <v>5.0</v>
      </c>
      <c r="G9" s="23">
        <v>4.0</v>
      </c>
      <c r="H9" s="24" t="str">
        <f t="shared" si="1"/>
        <v>agree</v>
      </c>
      <c r="I9" s="24" t="str">
        <f t="shared" si="2"/>
        <v>disagree</v>
      </c>
      <c r="K9" s="25">
        <v>4.0</v>
      </c>
      <c r="L9" s="24">
        <f>SUMPRODUCT((E$6:E$20=4)*(F$6:F$20=1))</f>
        <v>0</v>
      </c>
      <c r="M9" s="24">
        <f>SUMPRODUCT((E$6:E$20=4)*(F$6:F$20=2))</f>
        <v>0</v>
      </c>
      <c r="N9" s="24">
        <f>SUMPRODUCT((E$6:E$20=4)*(F$6:F$20=3))</f>
        <v>0</v>
      </c>
      <c r="O9" s="24">
        <f>SUMPRODUCT((E$6:E$20=4)*(F$6:F$20=4))</f>
        <v>1</v>
      </c>
      <c r="P9" s="24">
        <f>SUMPRODUCT((E$6:E$20=4)*(F$6:F$20=5))</f>
        <v>0</v>
      </c>
      <c r="Q9" s="25">
        <f t="shared" si="3"/>
        <v>1</v>
      </c>
      <c r="S9" s="20">
        <v>3.0</v>
      </c>
      <c r="T9" s="24">
        <v>0.75</v>
      </c>
      <c r="U9" s="24">
        <v>0.9375</v>
      </c>
      <c r="V9" s="24">
        <v>1.0</v>
      </c>
      <c r="W9" s="24">
        <v>0.9375</v>
      </c>
      <c r="X9" s="24">
        <v>0.75</v>
      </c>
    </row>
    <row r="10" ht="15.0" customHeight="1">
      <c r="B10" s="22">
        <v>5.0</v>
      </c>
      <c r="C10" s="19" t="s">
        <v>77</v>
      </c>
      <c r="D10" s="22" t="s">
        <v>47</v>
      </c>
      <c r="E10" s="23">
        <v>5.0</v>
      </c>
      <c r="F10" s="23">
        <v>5.0</v>
      </c>
      <c r="G10" s="23">
        <v>4.0</v>
      </c>
      <c r="H10" s="24" t="str">
        <f t="shared" si="1"/>
        <v>agree</v>
      </c>
      <c r="I10" s="24" t="str">
        <f t="shared" si="2"/>
        <v>disagree</v>
      </c>
      <c r="K10" s="25">
        <v>5.0</v>
      </c>
      <c r="L10" s="24">
        <f>SUMPRODUCT((E$6:E$20=5)*(F$6:F$20=1))</f>
        <v>0</v>
      </c>
      <c r="M10" s="24">
        <f>SUMPRODUCT((E$6:E$20=5)*(F$6:F$20=2))</f>
        <v>0</v>
      </c>
      <c r="N10" s="24">
        <f>SUMPRODUCT((E$6:E$20=5)*(F$6:F$20=3))</f>
        <v>0</v>
      </c>
      <c r="O10" s="24">
        <f>SUMPRODUCT((E$6:E$20=5)*(F$6:F$20=4))</f>
        <v>4</v>
      </c>
      <c r="P10" s="24">
        <f>SUMPRODUCT((E$6:E$20=5)*(F$6:F$20=5))</f>
        <v>10</v>
      </c>
      <c r="Q10" s="25">
        <f t="shared" si="3"/>
        <v>14</v>
      </c>
      <c r="S10" s="20">
        <v>4.0</v>
      </c>
      <c r="T10" s="24">
        <v>0.4375</v>
      </c>
      <c r="U10" s="24">
        <v>0.75</v>
      </c>
      <c r="V10" s="24">
        <v>0.9375</v>
      </c>
      <c r="W10" s="24">
        <v>1.0</v>
      </c>
      <c r="X10" s="24">
        <v>0.9375</v>
      </c>
    </row>
    <row r="11" ht="15.0" customHeight="1">
      <c r="B11" s="22">
        <v>6.0</v>
      </c>
      <c r="C11" s="19" t="s">
        <v>51</v>
      </c>
      <c r="D11" s="22" t="s">
        <v>85</v>
      </c>
      <c r="E11" s="23">
        <v>5.0</v>
      </c>
      <c r="F11" s="23">
        <v>5.0</v>
      </c>
      <c r="G11" s="23">
        <v>4.0</v>
      </c>
      <c r="H11" s="24" t="str">
        <f t="shared" si="1"/>
        <v>agree</v>
      </c>
      <c r="I11" s="24" t="str">
        <f t="shared" si="2"/>
        <v>disagree</v>
      </c>
      <c r="K11" s="26" t="s">
        <v>57</v>
      </c>
      <c r="L11" s="27">
        <f t="shared" ref="L11:Q11" si="4">SUM(L6:L10)</f>
        <v>0</v>
      </c>
      <c r="M11" s="27">
        <f t="shared" si="4"/>
        <v>0</v>
      </c>
      <c r="N11" s="27">
        <f t="shared" si="4"/>
        <v>0</v>
      </c>
      <c r="O11" s="27">
        <f t="shared" si="4"/>
        <v>5</v>
      </c>
      <c r="P11" s="27">
        <f t="shared" si="4"/>
        <v>10</v>
      </c>
      <c r="Q11" s="27">
        <f t="shared" si="4"/>
        <v>15</v>
      </c>
      <c r="S11" s="20">
        <v>5.0</v>
      </c>
      <c r="T11" s="24">
        <v>0.0</v>
      </c>
      <c r="U11" s="24">
        <v>0.4375</v>
      </c>
      <c r="V11" s="24">
        <v>0.75</v>
      </c>
      <c r="W11" s="24">
        <v>0.9375</v>
      </c>
      <c r="X11" s="24">
        <v>1.0</v>
      </c>
    </row>
    <row r="12" ht="15.0" customHeight="1">
      <c r="B12" s="22">
        <v>7.0</v>
      </c>
      <c r="C12" s="19" t="s">
        <v>60</v>
      </c>
      <c r="D12" s="22" t="s">
        <v>85</v>
      </c>
      <c r="E12" s="23">
        <v>5.0</v>
      </c>
      <c r="F12" s="23">
        <v>5.0</v>
      </c>
      <c r="G12" s="23">
        <v>4.0</v>
      </c>
      <c r="H12" s="24" t="str">
        <f t="shared" si="1"/>
        <v>agree</v>
      </c>
      <c r="I12" s="24" t="str">
        <f t="shared" si="2"/>
        <v>disagree</v>
      </c>
      <c r="K12" s="1"/>
      <c r="L12" s="1"/>
      <c r="M12" s="1"/>
      <c r="N12" s="1"/>
      <c r="O12" s="1"/>
      <c r="P12" s="1"/>
      <c r="Q12" s="1"/>
      <c r="S12" s="1"/>
      <c r="T12" s="1"/>
      <c r="U12" s="1"/>
      <c r="V12" s="1"/>
      <c r="W12" s="1"/>
      <c r="X12" s="1"/>
    </row>
    <row r="13" ht="15.0" customHeight="1">
      <c r="B13" s="22">
        <v>8.0</v>
      </c>
      <c r="C13" s="19" t="s">
        <v>66</v>
      </c>
      <c r="D13" s="22" t="s">
        <v>85</v>
      </c>
      <c r="E13" s="23">
        <v>5.0</v>
      </c>
      <c r="F13" s="23">
        <v>4.0</v>
      </c>
      <c r="G13" s="23">
        <v>4.0</v>
      </c>
      <c r="H13" s="24" t="str">
        <f t="shared" si="1"/>
        <v>disagree</v>
      </c>
      <c r="I13" s="24" t="str">
        <f t="shared" si="2"/>
        <v>disagree</v>
      </c>
      <c r="K13" s="12" t="s">
        <v>106</v>
      </c>
      <c r="L13" s="1"/>
      <c r="M13" s="1"/>
      <c r="N13" s="1"/>
      <c r="O13" s="1"/>
      <c r="P13" s="1"/>
      <c r="Q13" s="1"/>
      <c r="S13" s="1"/>
      <c r="T13" s="1"/>
      <c r="U13" s="1"/>
      <c r="V13" s="1"/>
      <c r="W13" s="1"/>
      <c r="X13" s="1"/>
    </row>
    <row r="14" ht="15.0" customHeight="1">
      <c r="B14" s="22">
        <v>9.0</v>
      </c>
      <c r="C14" s="19" t="s">
        <v>71</v>
      </c>
      <c r="D14" s="22" t="s">
        <v>85</v>
      </c>
      <c r="E14" s="23">
        <v>5.0</v>
      </c>
      <c r="F14" s="23">
        <v>4.0</v>
      </c>
      <c r="G14" s="23">
        <v>5.0</v>
      </c>
      <c r="H14" s="24" t="str">
        <f t="shared" si="1"/>
        <v>disagree</v>
      </c>
      <c r="I14" s="24" t="str">
        <f t="shared" si="2"/>
        <v>agree</v>
      </c>
      <c r="K14" s="20" t="s">
        <v>108</v>
      </c>
      <c r="L14" s="10">
        <v>1.0</v>
      </c>
      <c r="M14" s="10">
        <v>2.0</v>
      </c>
      <c r="N14" s="10">
        <v>3.0</v>
      </c>
      <c r="O14" s="10">
        <v>4.0</v>
      </c>
      <c r="P14" s="10">
        <v>5.0</v>
      </c>
      <c r="Q14" s="20" t="s">
        <v>57</v>
      </c>
      <c r="S14" s="1"/>
      <c r="T14" s="1"/>
      <c r="U14" s="1"/>
      <c r="V14" s="1"/>
      <c r="W14" s="1"/>
      <c r="X14" s="1"/>
    </row>
    <row r="15" ht="15.0" customHeight="1">
      <c r="B15" s="22">
        <v>10.0</v>
      </c>
      <c r="C15" s="19" t="s">
        <v>77</v>
      </c>
      <c r="D15" s="22" t="s">
        <v>85</v>
      </c>
      <c r="E15" s="23">
        <v>5.0</v>
      </c>
      <c r="F15" s="23">
        <v>5.0</v>
      </c>
      <c r="G15" s="23">
        <v>3.0</v>
      </c>
      <c r="H15" s="24" t="str">
        <f t="shared" si="1"/>
        <v>agree</v>
      </c>
      <c r="I15" s="24" t="str">
        <f t="shared" si="2"/>
        <v>disagree</v>
      </c>
      <c r="K15" s="25">
        <v>1.0</v>
      </c>
      <c r="L15" s="24">
        <f>SUMPRODUCT((ROUND((E$6:E$20+F$6:F$20)/2,0)=1)*(G$6:G$20=1))</f>
        <v>0</v>
      </c>
      <c r="M15" s="24">
        <f>SUMPRODUCT((ROUND((E$6:E$20+F$6:F$20)/2,0)=1)*(G$6:G$20=2))</f>
        <v>0</v>
      </c>
      <c r="N15" s="24">
        <f>SUMPRODUCT((ROUND((E$6:E$20+F$6:F$20)/2,0)=1)*(G$6:G$20=3))</f>
        <v>0</v>
      </c>
      <c r="O15" s="24">
        <f>SUMPRODUCT((ROUND((E$6:E$20+F$6:F$20)/2,0)=1)*(G$6:G$20=4))</f>
        <v>0</v>
      </c>
      <c r="P15" s="24">
        <f>SUMPRODUCT((ROUND((E$6:E$20+F$6:F$20)/2,0)=1)*(G$6:G$20=5))</f>
        <v>0</v>
      </c>
      <c r="Q15" s="25">
        <f t="shared" ref="Q15:Q19" si="5">SUM(L15:P15)</f>
        <v>0</v>
      </c>
      <c r="S15" s="1"/>
      <c r="T15" s="1"/>
      <c r="U15" s="1"/>
      <c r="V15" s="1"/>
      <c r="W15" s="1"/>
      <c r="X15" s="1"/>
    </row>
    <row r="16" ht="23.25" customHeight="1">
      <c r="B16" s="22">
        <v>11.0</v>
      </c>
      <c r="C16" s="19" t="s">
        <v>51</v>
      </c>
      <c r="D16" s="22" t="s">
        <v>99</v>
      </c>
      <c r="E16" s="23">
        <v>5.0</v>
      </c>
      <c r="F16" s="23">
        <v>5.0</v>
      </c>
      <c r="G16" s="23">
        <v>5.0</v>
      </c>
      <c r="H16" s="24" t="str">
        <f t="shared" si="1"/>
        <v>agree</v>
      </c>
      <c r="I16" s="24" t="str">
        <f t="shared" si="2"/>
        <v>agree</v>
      </c>
      <c r="K16" s="25">
        <v>2.0</v>
      </c>
      <c r="L16" s="24">
        <f>SUMPRODUCT((ROUND((E$6:E$20+F$6:F$20)/2,0)=2)*(G$6:G$20=1))</f>
        <v>0</v>
      </c>
      <c r="M16" s="24">
        <f>SUMPRODUCT((ROUND((E$6:E$20+F$6:F$20)/2,0)=2)*(G$6:G$20=2))</f>
        <v>0</v>
      </c>
      <c r="N16" s="24">
        <f>SUMPRODUCT((ROUND((E$6:E$20+F$6:F$20)/2,0)=2)*(G$6:G$20=3))</f>
        <v>0</v>
      </c>
      <c r="O16" s="24">
        <f>SUMPRODUCT((ROUND((E$6:E$20+F$6:F$20)/2,0)=2)*(G$6:G$20=4))</f>
        <v>0</v>
      </c>
      <c r="P16" s="24">
        <f>SUMPRODUCT((ROUND((E$6:E$20+F$6:F$20)/2,0)=2)*(G$6:G$20=5))</f>
        <v>0</v>
      </c>
      <c r="Q16" s="25">
        <f t="shared" si="5"/>
        <v>0</v>
      </c>
      <c r="S16" s="1"/>
      <c r="T16" s="1"/>
      <c r="U16" s="1"/>
      <c r="V16" s="1"/>
      <c r="W16" s="1"/>
      <c r="X16" s="1"/>
    </row>
    <row r="17" ht="23.25" customHeight="1">
      <c r="B17" s="22">
        <v>12.0</v>
      </c>
      <c r="C17" s="19" t="s">
        <v>60</v>
      </c>
      <c r="D17" s="22" t="s">
        <v>99</v>
      </c>
      <c r="E17" s="23">
        <v>5.0</v>
      </c>
      <c r="F17" s="23">
        <v>5.0</v>
      </c>
      <c r="G17" s="23">
        <v>4.0</v>
      </c>
      <c r="H17" s="24" t="str">
        <f t="shared" si="1"/>
        <v>agree</v>
      </c>
      <c r="I17" s="24" t="str">
        <f t="shared" si="2"/>
        <v>disagree</v>
      </c>
      <c r="K17" s="25">
        <v>3.0</v>
      </c>
      <c r="L17" s="24">
        <f>SUMPRODUCT((ROUND((E$6:E$20+F$6:F$20)/2,0)=3)*(G$6:G$20=1))</f>
        <v>0</v>
      </c>
      <c r="M17" s="24">
        <f>SUMPRODUCT((ROUND((E$6:E$20+F$6:F$20)/2,0)=3)*(G$6:G$20=2))</f>
        <v>0</v>
      </c>
      <c r="N17" s="24">
        <f>SUMPRODUCT((ROUND((E$6:E$20+F$6:F$20)/2,0)=3)*(G$6:G$20=3))</f>
        <v>0</v>
      </c>
      <c r="O17" s="24">
        <f>SUMPRODUCT((ROUND((E$6:E$20+F$6:F$20)/2,0)=3)*(G$6:G$20=4))</f>
        <v>0</v>
      </c>
      <c r="P17" s="24">
        <f>SUMPRODUCT((ROUND((E$6:E$20+F$6:F$20)/2,0)=3)*(G$6:G$20=5))</f>
        <v>0</v>
      </c>
      <c r="Q17" s="25">
        <f t="shared" si="5"/>
        <v>0</v>
      </c>
      <c r="S17" s="1"/>
      <c r="T17" s="1"/>
      <c r="U17" s="1"/>
      <c r="V17" s="1"/>
      <c r="W17" s="1"/>
      <c r="X17" s="1"/>
    </row>
    <row r="18" ht="23.25" customHeight="1">
      <c r="B18" s="22">
        <v>13.0</v>
      </c>
      <c r="C18" s="19" t="s">
        <v>66</v>
      </c>
      <c r="D18" s="22" t="s">
        <v>99</v>
      </c>
      <c r="E18" s="23">
        <v>5.0</v>
      </c>
      <c r="F18" s="23">
        <v>4.0</v>
      </c>
      <c r="G18" s="23">
        <v>4.0</v>
      </c>
      <c r="H18" s="24" t="str">
        <f t="shared" si="1"/>
        <v>disagree</v>
      </c>
      <c r="I18" s="24" t="str">
        <f t="shared" si="2"/>
        <v>disagree</v>
      </c>
      <c r="K18" s="25">
        <v>4.0</v>
      </c>
      <c r="L18" s="24">
        <f>SUMPRODUCT((ROUND((E$6:E$20+F$6:F$20)/2,0)=4)*(G$6:G$20=1))</f>
        <v>0</v>
      </c>
      <c r="M18" s="24">
        <f>SUMPRODUCT((ROUND((E$6:E$20+F$6:F$20)/2,0)=4)*(G$6:G$20=2))</f>
        <v>0</v>
      </c>
      <c r="N18" s="24">
        <f>SUMPRODUCT((ROUND((E$6:E$20+F$6:F$20)/2,0)=4)*(G$6:G$20=3))</f>
        <v>0</v>
      </c>
      <c r="O18" s="24">
        <f>SUMPRODUCT((ROUND((E$6:E$20+F$6:F$20)/2,0)=4)*(G$6:G$20=4))</f>
        <v>0</v>
      </c>
      <c r="P18" s="24">
        <f>SUMPRODUCT((ROUND((E$6:E$20+F$6:F$20)/2,0)=4)*(G$6:G$20=5))</f>
        <v>1</v>
      </c>
      <c r="Q18" s="25">
        <f t="shared" si="5"/>
        <v>1</v>
      </c>
      <c r="S18" s="1"/>
      <c r="T18" s="1"/>
      <c r="U18" s="1"/>
      <c r="V18" s="1"/>
      <c r="W18" s="1"/>
      <c r="X18" s="1"/>
    </row>
    <row r="19" ht="23.25" customHeight="1">
      <c r="B19" s="22">
        <v>14.0</v>
      </c>
      <c r="C19" s="19" t="s">
        <v>71</v>
      </c>
      <c r="D19" s="22" t="s">
        <v>99</v>
      </c>
      <c r="E19" s="23">
        <v>5.0</v>
      </c>
      <c r="F19" s="23">
        <v>5.0</v>
      </c>
      <c r="G19" s="23">
        <v>4.0</v>
      </c>
      <c r="H19" s="24" t="str">
        <f t="shared" si="1"/>
        <v>agree</v>
      </c>
      <c r="I19" s="24" t="str">
        <f t="shared" si="2"/>
        <v>disagree</v>
      </c>
      <c r="K19" s="25">
        <v>5.0</v>
      </c>
      <c r="L19" s="24">
        <f>SUMPRODUCT((ROUND((E$6:E$20+F$6:F$20)/2,0)=5)*(G$6:G$20=1))</f>
        <v>0</v>
      </c>
      <c r="M19" s="24">
        <f>SUMPRODUCT((ROUND((E$6:E$20+F$6:F$20)/2,0)=5)*(G$6:G$20=2))</f>
        <v>0</v>
      </c>
      <c r="N19" s="24">
        <f>SUMPRODUCT((ROUND((E$6:E$20+F$6:F$20)/2,0)=5)*(G$6:G$20=3))</f>
        <v>1</v>
      </c>
      <c r="O19" s="24">
        <f>SUMPRODUCT((ROUND((E$6:E$20+F$6:F$20)/2,0)=5)*(G$6:G$20=4))</f>
        <v>9</v>
      </c>
      <c r="P19" s="24">
        <f>SUMPRODUCT((ROUND((E$6:E$20+F$6:F$20)/2,0)=5)*(G$6:G$20=5))</f>
        <v>4</v>
      </c>
      <c r="Q19" s="25">
        <f t="shared" si="5"/>
        <v>14</v>
      </c>
      <c r="S19" s="1"/>
      <c r="T19" s="1"/>
      <c r="U19" s="1"/>
      <c r="V19" s="1"/>
      <c r="W19" s="1"/>
      <c r="X19" s="1"/>
    </row>
    <row r="20" ht="23.25" customHeight="1">
      <c r="B20" s="22">
        <v>15.0</v>
      </c>
      <c r="C20" s="19" t="s">
        <v>77</v>
      </c>
      <c r="D20" s="22" t="s">
        <v>99</v>
      </c>
      <c r="E20" s="23">
        <v>5.0</v>
      </c>
      <c r="F20" s="23">
        <v>5.0</v>
      </c>
      <c r="G20" s="23">
        <v>4.0</v>
      </c>
      <c r="H20" s="24" t="str">
        <f t="shared" si="1"/>
        <v>agree</v>
      </c>
      <c r="I20" s="24" t="str">
        <f t="shared" si="2"/>
        <v>disagree</v>
      </c>
      <c r="K20" s="26" t="s">
        <v>57</v>
      </c>
      <c r="L20" s="27">
        <f t="shared" ref="L20:Q20" si="6">SUM(L15:L19)</f>
        <v>0</v>
      </c>
      <c r="M20" s="27">
        <f t="shared" si="6"/>
        <v>0</v>
      </c>
      <c r="N20" s="27">
        <f t="shared" si="6"/>
        <v>1</v>
      </c>
      <c r="O20" s="27">
        <f t="shared" si="6"/>
        <v>9</v>
      </c>
      <c r="P20" s="27">
        <f t="shared" si="6"/>
        <v>5</v>
      </c>
      <c r="Q20" s="27">
        <f t="shared" si="6"/>
        <v>15</v>
      </c>
      <c r="S20" s="1"/>
      <c r="T20" s="1"/>
      <c r="U20" s="1"/>
      <c r="V20" s="1"/>
      <c r="W20" s="1"/>
      <c r="X20" s="1"/>
    </row>
    <row r="21" ht="15.0" customHeight="1">
      <c r="B21" s="28" t="s">
        <v>117</v>
      </c>
      <c r="C21" s="1"/>
      <c r="D21" s="1"/>
      <c r="E21" s="1"/>
      <c r="F21" s="1"/>
      <c r="G21" s="1"/>
      <c r="H21" s="28">
        <f>COUNTIF(H6:H20,"agree")/15</f>
        <v>0.7333333333</v>
      </c>
      <c r="I21" s="1"/>
      <c r="K21" s="1"/>
      <c r="L21" s="1"/>
      <c r="M21" s="1"/>
      <c r="N21" s="1"/>
      <c r="O21" s="1"/>
      <c r="P21" s="1"/>
      <c r="Q21" s="1"/>
      <c r="S21" s="1"/>
      <c r="T21" s="1"/>
      <c r="U21" s="1"/>
      <c r="V21" s="1"/>
      <c r="W21" s="1"/>
      <c r="X21" s="1"/>
    </row>
    <row r="22" ht="15.0" customHeight="1">
      <c r="B22" s="28" t="s">
        <v>118</v>
      </c>
      <c r="C22" s="1"/>
      <c r="D22" s="1"/>
      <c r="E22" s="1"/>
      <c r="F22" s="1"/>
      <c r="G22" s="1"/>
      <c r="H22" s="28">
        <f>COUNTIF(I6:I20,"agree")/15</f>
        <v>0.2666666667</v>
      </c>
      <c r="I22" s="1"/>
      <c r="K22" s="29" t="s">
        <v>119</v>
      </c>
      <c r="L22" s="1"/>
      <c r="M22" s="1"/>
      <c r="N22" s="1"/>
      <c r="O22" s="1"/>
      <c r="P22" s="1"/>
      <c r="Q22" s="1"/>
      <c r="S22" s="1"/>
      <c r="T22" s="1"/>
      <c r="U22" s="1"/>
      <c r="V22" s="1"/>
      <c r="W22" s="1"/>
      <c r="X22" s="1"/>
    </row>
    <row r="23" ht="15.0" customHeight="1">
      <c r="B23" s="1"/>
      <c r="C23" s="1"/>
      <c r="D23" s="1"/>
      <c r="E23" s="1"/>
      <c r="F23" s="1"/>
      <c r="G23" s="1"/>
      <c r="H23" s="1"/>
      <c r="I23" s="1"/>
      <c r="K23" s="28" t="s">
        <v>120</v>
      </c>
      <c r="L23" s="1"/>
      <c r="M23" s="1"/>
      <c r="N23" s="1"/>
      <c r="O23" s="1"/>
      <c r="P23" s="1"/>
      <c r="Q23" s="1"/>
      <c r="S23" s="1"/>
      <c r="T23" s="1"/>
      <c r="U23" s="1"/>
      <c r="V23" s="30">
        <f>SUMPRODUCT($L$6:$P$10,$T$7:$X$11)/$Q$11</f>
        <v>0.9833333333</v>
      </c>
      <c r="W23" s="1"/>
      <c r="X23" s="1"/>
    </row>
    <row r="24" ht="15.0" customHeight="1">
      <c r="B24" s="1"/>
      <c r="C24" s="1"/>
      <c r="D24" s="1"/>
      <c r="E24" s="1"/>
      <c r="F24" s="1"/>
      <c r="G24" s="1"/>
      <c r="H24" s="1"/>
      <c r="I24" s="1"/>
      <c r="K24" s="28" t="s">
        <v>121</v>
      </c>
      <c r="L24" s="1"/>
      <c r="M24" s="1"/>
      <c r="N24" s="1"/>
      <c r="O24" s="1"/>
      <c r="P24" s="1"/>
      <c r="Q24" s="1"/>
      <c r="S24" s="1"/>
      <c r="T24" s="1"/>
      <c r="U24" s="1"/>
      <c r="V24" s="30">
        <f t="array" ref="V24">SUMPRODUCT($Q$6:$Q$10,MMULT($T$7:$X$11,TRANSPOSE($L$11:$P$11)))/($Q$11^2)</f>
        <v>0.9777777778</v>
      </c>
      <c r="W24" s="1"/>
      <c r="X24" s="1"/>
    </row>
    <row r="25" ht="15.0" customHeight="1">
      <c r="B25" s="1"/>
      <c r="C25" s="1"/>
      <c r="D25" s="1"/>
      <c r="E25" s="1"/>
      <c r="F25" s="1"/>
      <c r="G25" s="1"/>
      <c r="H25" s="1"/>
      <c r="I25" s="1"/>
      <c r="K25" s="28" t="s">
        <v>122</v>
      </c>
      <c r="L25" s="1"/>
      <c r="M25" s="1"/>
      <c r="N25" s="1"/>
      <c r="O25" s="1"/>
      <c r="P25" s="1"/>
      <c r="Q25" s="1"/>
      <c r="S25" s="1"/>
      <c r="T25" s="1"/>
      <c r="U25" s="1"/>
      <c r="V25" s="30">
        <f>(V23-V24)/(1-V24)</f>
        <v>0.25</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8" t="s">
        <v>123</v>
      </c>
      <c r="L27" s="1"/>
      <c r="M27" s="1"/>
      <c r="N27" s="1"/>
      <c r="O27" s="1"/>
      <c r="P27" s="1"/>
      <c r="Q27" s="1"/>
      <c r="S27" s="1"/>
      <c r="T27" s="1"/>
      <c r="U27" s="1"/>
      <c r="V27" s="30">
        <f>SUMPRODUCT($L$15:$P$19,$T$7:$X$11)/$Q$20</f>
        <v>0.9416666667</v>
      </c>
      <c r="W27" s="1"/>
      <c r="X27" s="1"/>
    </row>
    <row r="28" ht="15.0" customHeight="1">
      <c r="B28" s="1"/>
      <c r="C28" s="1"/>
      <c r="D28" s="1"/>
      <c r="E28" s="1"/>
      <c r="F28" s="1"/>
      <c r="G28" s="1"/>
      <c r="H28" s="1"/>
      <c r="I28" s="1"/>
      <c r="K28" s="28" t="s">
        <v>124</v>
      </c>
      <c r="L28" s="1"/>
      <c r="M28" s="1"/>
      <c r="N28" s="1"/>
      <c r="O28" s="1"/>
      <c r="P28" s="1"/>
      <c r="Q28" s="1"/>
      <c r="S28" s="1"/>
      <c r="T28" s="1"/>
      <c r="U28" s="1"/>
      <c r="V28" s="30">
        <f t="array" ref="V28">SUMPRODUCT($Q$15:$Q$19,MMULT($T$7:$X$11,TRANSPOSE($L$20:$P$20)))/($Q$20^2)</f>
        <v>0.9477777778</v>
      </c>
      <c r="W28" s="1"/>
      <c r="X28" s="1"/>
    </row>
    <row r="29" ht="15.0" customHeight="1">
      <c r="B29" s="1"/>
      <c r="C29" s="1"/>
      <c r="D29" s="1"/>
      <c r="E29" s="1"/>
      <c r="F29" s="1"/>
      <c r="G29" s="1"/>
      <c r="H29" s="1"/>
      <c r="I29" s="1"/>
      <c r="K29" s="28" t="s">
        <v>125</v>
      </c>
      <c r="L29" s="1"/>
      <c r="M29" s="1"/>
      <c r="N29" s="1"/>
      <c r="O29" s="1"/>
      <c r="P29" s="1"/>
      <c r="Q29" s="1"/>
      <c r="S29" s="1"/>
      <c r="T29" s="1"/>
      <c r="U29" s="1"/>
      <c r="V29" s="30">
        <f>(V27-V28)/(1-V28)</f>
        <v>-0.1170212766</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75" customHeight="1">
      <c r="B31" s="1"/>
      <c r="C31" s="1"/>
      <c r="D31" s="1"/>
      <c r="E31" s="1"/>
      <c r="F31" s="1"/>
      <c r="G31" s="1"/>
      <c r="H31" s="1"/>
      <c r="I31" s="1"/>
      <c r="K31" s="1"/>
      <c r="L31" s="1"/>
      <c r="M31" s="1"/>
      <c r="N31" s="1"/>
      <c r="O31" s="1"/>
      <c r="P31" s="1"/>
      <c r="Q31" s="1"/>
      <c r="S31" s="1"/>
      <c r="T31" s="1"/>
      <c r="U31" s="1"/>
      <c r="V31" s="1"/>
      <c r="W31" s="1"/>
      <c r="X31" s="1"/>
    </row>
    <row r="32" ht="15.75" customHeight="1">
      <c r="B32" s="1"/>
      <c r="C32" s="1"/>
      <c r="D32" s="1"/>
      <c r="E32" s="1"/>
      <c r="F32" s="1"/>
      <c r="G32" s="1"/>
      <c r="H32" s="1"/>
      <c r="I32" s="1"/>
      <c r="K32" s="1"/>
      <c r="L32" s="1"/>
      <c r="M32" s="1"/>
      <c r="N32" s="1"/>
      <c r="O32" s="1"/>
      <c r="P32" s="1"/>
      <c r="Q32" s="1"/>
      <c r="S32" s="1"/>
      <c r="T32" s="1"/>
      <c r="U32" s="1"/>
      <c r="V32" s="1"/>
      <c r="W32" s="1"/>
      <c r="X32" s="1"/>
    </row>
    <row r="33" ht="15.0" customHeight="1">
      <c r="B33" s="1"/>
      <c r="C33" s="1"/>
      <c r="D33" s="1"/>
      <c r="E33" s="1"/>
      <c r="F33" s="1"/>
      <c r="G33" s="1"/>
      <c r="H33" s="1"/>
      <c r="I33" s="1"/>
      <c r="K33" s="12" t="s">
        <v>126</v>
      </c>
      <c r="L33" s="1"/>
      <c r="M33" s="1"/>
      <c r="N33" s="1"/>
      <c r="O33" s="1"/>
      <c r="P33" s="1"/>
      <c r="Q33" s="1"/>
      <c r="S33" s="1"/>
      <c r="T33" s="1"/>
      <c r="U33" s="1"/>
      <c r="V33" s="1"/>
      <c r="W33" s="1"/>
      <c r="X33" s="1"/>
    </row>
    <row r="34" ht="15.0" customHeight="1">
      <c r="B34" s="1"/>
      <c r="C34" s="1"/>
      <c r="D34" s="1"/>
      <c r="E34" s="1"/>
      <c r="F34" s="1"/>
      <c r="G34" s="1"/>
      <c r="H34" s="1"/>
      <c r="I34" s="1"/>
      <c r="K34" s="28" t="s">
        <v>127</v>
      </c>
      <c r="L34" s="1"/>
      <c r="M34" s="1"/>
      <c r="N34" s="1"/>
      <c r="O34" s="28" t="s">
        <v>128</v>
      </c>
      <c r="P34" s="1"/>
      <c r="Q34" s="1"/>
      <c r="S34" s="1"/>
      <c r="T34" s="28" t="s">
        <v>129</v>
      </c>
      <c r="U34" s="1"/>
      <c r="V34" s="1"/>
      <c r="W34" s="1"/>
      <c r="X34" s="1"/>
    </row>
    <row r="35" ht="15.0" customHeight="1">
      <c r="B35" s="1"/>
      <c r="C35" s="1"/>
      <c r="D35" s="1"/>
      <c r="E35" s="1"/>
      <c r="F35" s="1"/>
      <c r="G35" s="1"/>
      <c r="H35" s="1"/>
      <c r="I35" s="1"/>
      <c r="K35" s="28" t="s">
        <v>130</v>
      </c>
      <c r="L35" s="1"/>
      <c r="M35" s="1"/>
      <c r="N35" s="1"/>
      <c r="O35" s="28" t="s">
        <v>131</v>
      </c>
      <c r="P35" s="1"/>
      <c r="Q35" s="1"/>
      <c r="S35" s="1"/>
      <c r="T35" s="28" t="s">
        <v>132</v>
      </c>
      <c r="U35" s="1"/>
      <c r="V35" s="1"/>
      <c r="W35" s="1"/>
      <c r="X35" s="1"/>
    </row>
    <row r="36" ht="15.0" customHeight="1">
      <c r="B36" s="1"/>
      <c r="C36" s="1"/>
      <c r="D36" s="1"/>
      <c r="E36" s="1"/>
      <c r="F36" s="1"/>
      <c r="G36" s="1"/>
      <c r="H36" s="1"/>
      <c r="I36" s="1"/>
      <c r="K36" s="28" t="s">
        <v>133</v>
      </c>
      <c r="L36" s="1"/>
      <c r="M36" s="1"/>
      <c r="N36" s="1"/>
      <c r="O36" s="28" t="s">
        <v>134</v>
      </c>
      <c r="P36" s="1"/>
      <c r="Q36" s="1"/>
      <c r="S36" s="1"/>
      <c r="T36" s="28" t="s">
        <v>135</v>
      </c>
      <c r="U36" s="1"/>
      <c r="V36" s="1"/>
      <c r="W36" s="1"/>
      <c r="X36" s="1"/>
    </row>
    <row r="37" ht="15.0" customHeight="1">
      <c r="B37" s="1"/>
      <c r="C37" s="1"/>
      <c r="D37" s="1"/>
      <c r="E37" s="1"/>
      <c r="F37" s="1"/>
      <c r="G37" s="1"/>
      <c r="H37" s="1"/>
      <c r="I37" s="1"/>
      <c r="K37" s="28" t="s">
        <v>136</v>
      </c>
      <c r="L37" s="1"/>
      <c r="M37" s="1"/>
      <c r="N37" s="1"/>
      <c r="O37" s="28" t="s">
        <v>137</v>
      </c>
      <c r="P37" s="1"/>
      <c r="Q37" s="1"/>
      <c r="S37" s="1"/>
      <c r="T37" s="28" t="s">
        <v>138</v>
      </c>
      <c r="U37" s="1"/>
      <c r="V37" s="1"/>
      <c r="W37" s="1"/>
      <c r="X37" s="1"/>
    </row>
    <row r="38" ht="15.0" customHeight="1">
      <c r="B38" s="1"/>
      <c r="C38" s="1"/>
      <c r="D38" s="1"/>
      <c r="E38" s="1"/>
      <c r="F38" s="1"/>
      <c r="G38" s="1"/>
      <c r="H38" s="1"/>
      <c r="I38" s="1"/>
      <c r="K38" s="28" t="s">
        <v>139</v>
      </c>
      <c r="L38" s="1"/>
      <c r="M38" s="1"/>
      <c r="N38" s="1"/>
      <c r="O38" s="28" t="s">
        <v>140</v>
      </c>
      <c r="P38" s="1"/>
      <c r="Q38" s="1"/>
      <c r="S38" s="1"/>
      <c r="T38" s="28" t="s">
        <v>141</v>
      </c>
      <c r="U38" s="1"/>
      <c r="V38" s="1"/>
      <c r="W38" s="1"/>
      <c r="X38" s="1"/>
    </row>
    <row r="39" ht="15.75" customHeight="1">
      <c r="B39" s="1"/>
      <c r="C39" s="1"/>
      <c r="D39" s="1"/>
      <c r="E39" s="1"/>
      <c r="F39" s="1"/>
      <c r="G39" s="1"/>
      <c r="H39" s="1"/>
      <c r="I39" s="1"/>
      <c r="K39" s="1"/>
      <c r="L39" s="1"/>
      <c r="M39" s="1"/>
      <c r="N39" s="1"/>
      <c r="O39" s="1"/>
      <c r="P39" s="1"/>
      <c r="Q39" s="1"/>
      <c r="S39" s="1"/>
      <c r="T39" s="1"/>
      <c r="U39" s="1"/>
      <c r="V39" s="1"/>
      <c r="W39" s="1"/>
      <c r="X39" s="1"/>
    </row>
    <row r="40" ht="15.75" customHeight="1">
      <c r="B40" s="1"/>
      <c r="C40" s="1"/>
      <c r="D40" s="1"/>
      <c r="E40" s="1"/>
      <c r="F40" s="1"/>
      <c r="G40" s="1"/>
      <c r="H40" s="1"/>
      <c r="I40" s="1"/>
      <c r="K40" s="1"/>
      <c r="L40" s="1"/>
      <c r="M40" s="1"/>
      <c r="N40" s="1"/>
      <c r="O40" s="1"/>
      <c r="P40" s="1"/>
      <c r="Q40" s="1"/>
      <c r="S40" s="1"/>
      <c r="T40" s="1"/>
      <c r="U40" s="1"/>
      <c r="V40" s="1"/>
      <c r="W40" s="1"/>
      <c r="X40" s="1"/>
    </row>
    <row r="41" ht="15.75" customHeight="1">
      <c r="B41" s="1"/>
      <c r="C41" s="1"/>
      <c r="D41" s="1"/>
      <c r="E41" s="1"/>
      <c r="F41" s="1"/>
      <c r="G41" s="1"/>
      <c r="H41" s="1"/>
      <c r="I41" s="1"/>
      <c r="K41" s="1"/>
      <c r="L41" s="1"/>
      <c r="M41" s="1"/>
      <c r="N41" s="1"/>
      <c r="O41" s="1"/>
      <c r="P41" s="1"/>
      <c r="Q41" s="1"/>
      <c r="S41" s="1"/>
      <c r="T41" s="1"/>
      <c r="U41" s="1"/>
      <c r="V41" s="1"/>
      <c r="W41" s="1"/>
      <c r="X41" s="1"/>
    </row>
    <row r="42" ht="15.75" customHeight="1">
      <c r="B42" s="1"/>
      <c r="C42" s="1"/>
      <c r="D42" s="1"/>
      <c r="E42" s="1"/>
      <c r="F42" s="1"/>
      <c r="G42" s="1"/>
      <c r="H42" s="1"/>
      <c r="I42" s="1"/>
      <c r="K42" s="1"/>
      <c r="L42" s="1"/>
      <c r="M42" s="1"/>
      <c r="N42" s="1"/>
      <c r="O42" s="1"/>
      <c r="P42" s="1"/>
      <c r="Q42" s="1"/>
      <c r="S42" s="1"/>
      <c r="T42" s="1"/>
      <c r="U42" s="1"/>
      <c r="V42" s="1"/>
      <c r="W42" s="1"/>
      <c r="X42" s="1"/>
    </row>
    <row r="43" ht="15.75" customHeight="1">
      <c r="B43" s="1"/>
      <c r="C43" s="1"/>
      <c r="D43" s="1"/>
      <c r="E43" s="1"/>
      <c r="F43" s="1"/>
      <c r="G43" s="1"/>
      <c r="H43" s="1"/>
      <c r="I43" s="1"/>
      <c r="K43" s="1"/>
      <c r="L43" s="1"/>
      <c r="M43" s="1"/>
      <c r="N43" s="1"/>
      <c r="O43" s="1"/>
      <c r="P43" s="1"/>
      <c r="Q43" s="1"/>
      <c r="S43" s="1"/>
      <c r="T43" s="1"/>
      <c r="U43" s="1"/>
      <c r="V43" s="1"/>
      <c r="W43" s="1"/>
      <c r="X43" s="1"/>
    </row>
    <row r="44" ht="15.75" customHeight="1">
      <c r="B44" s="1"/>
      <c r="C44" s="1"/>
      <c r="D44" s="1"/>
      <c r="E44" s="1"/>
      <c r="F44" s="1"/>
      <c r="G44" s="1"/>
      <c r="H44" s="1"/>
      <c r="I44" s="1"/>
      <c r="K44" s="1"/>
      <c r="L44" s="1"/>
      <c r="M44" s="1"/>
      <c r="N44" s="1"/>
      <c r="O44" s="1"/>
      <c r="P44" s="1"/>
      <c r="Q44" s="1"/>
      <c r="S44" s="1"/>
      <c r="T44" s="1"/>
      <c r="U44" s="1"/>
      <c r="V44" s="1"/>
      <c r="W44" s="1"/>
      <c r="X44" s="1"/>
    </row>
    <row r="45" ht="15.75" customHeight="1">
      <c r="B45" s="1"/>
      <c r="C45" s="1"/>
      <c r="D45" s="1"/>
      <c r="E45" s="1"/>
      <c r="F45" s="1"/>
      <c r="G45" s="1"/>
      <c r="H45" s="1"/>
      <c r="I45" s="1"/>
      <c r="K45" s="1"/>
      <c r="L45" s="1"/>
      <c r="M45" s="1"/>
      <c r="N45" s="1"/>
      <c r="O45" s="1"/>
      <c r="P45" s="1"/>
      <c r="Q45" s="1"/>
      <c r="S45" s="1"/>
      <c r="T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75" customHeight="1">
      <c r="B47" s="1"/>
      <c r="C47" s="1"/>
      <c r="D47" s="1"/>
      <c r="E47" s="1"/>
      <c r="F47" s="1"/>
      <c r="G47" s="1"/>
      <c r="H47" s="1"/>
      <c r="I47" s="1"/>
      <c r="K47" s="1"/>
      <c r="L47" s="1"/>
      <c r="M47" s="1"/>
      <c r="N47" s="1"/>
      <c r="O47" s="1"/>
      <c r="P47" s="1"/>
      <c r="Q47" s="1"/>
      <c r="S47" s="1"/>
      <c r="T47" s="1"/>
      <c r="U47" s="1"/>
      <c r="V47" s="1"/>
      <c r="W47" s="1"/>
      <c r="X47" s="1"/>
    </row>
    <row r="48" ht="15.75" customHeight="1">
      <c r="B48" s="1"/>
      <c r="C48" s="1"/>
      <c r="D48" s="1"/>
      <c r="E48" s="1"/>
      <c r="F48" s="1"/>
      <c r="G48" s="1"/>
      <c r="H48" s="1"/>
      <c r="I48" s="1"/>
      <c r="K48" s="1"/>
      <c r="L48" s="1"/>
      <c r="M48" s="1"/>
      <c r="N48" s="1"/>
      <c r="O48" s="1"/>
      <c r="P48" s="1"/>
      <c r="Q48" s="1"/>
      <c r="S48" s="1"/>
      <c r="T48" s="1"/>
      <c r="U48" s="1"/>
      <c r="V48" s="1"/>
      <c r="W48" s="1"/>
      <c r="X48" s="1"/>
    </row>
    <row r="49" ht="15.75" customHeight="1">
      <c r="B49" s="1"/>
      <c r="C49" s="1"/>
      <c r="D49" s="1"/>
      <c r="E49" s="1"/>
      <c r="F49" s="1"/>
      <c r="G49" s="1"/>
      <c r="H49" s="1"/>
      <c r="I49" s="1"/>
      <c r="K49" s="1"/>
      <c r="L49" s="1"/>
      <c r="M49" s="1"/>
      <c r="N49" s="1"/>
      <c r="O49" s="1"/>
      <c r="P49" s="1"/>
      <c r="Q49" s="1"/>
      <c r="S49" s="1"/>
      <c r="T49" s="1"/>
      <c r="U49" s="1"/>
      <c r="V49" s="1"/>
      <c r="W49" s="1"/>
      <c r="X49" s="1"/>
    </row>
    <row r="50" ht="15.75" customHeight="1">
      <c r="B50" s="1"/>
      <c r="C50" s="1"/>
      <c r="D50" s="1"/>
      <c r="E50" s="1"/>
      <c r="F50" s="1"/>
      <c r="G50" s="1"/>
      <c r="H50" s="1"/>
      <c r="I50" s="1"/>
      <c r="K50" s="1"/>
      <c r="L50" s="1"/>
      <c r="M50" s="1"/>
      <c r="N50" s="1"/>
      <c r="O50" s="1"/>
      <c r="P50" s="1"/>
      <c r="Q50" s="1"/>
      <c r="S50" s="1"/>
      <c r="T50" s="1"/>
      <c r="U50" s="1"/>
      <c r="V50" s="1"/>
      <c r="W50" s="1"/>
      <c r="X50" s="1"/>
    </row>
    <row r="51" ht="15.75" customHeight="1">
      <c r="B51" s="1"/>
      <c r="C51" s="1"/>
      <c r="D51" s="1"/>
      <c r="E51" s="1"/>
      <c r="F51" s="1"/>
      <c r="G51" s="1"/>
      <c r="H51" s="1"/>
      <c r="I51" s="1"/>
      <c r="K51" s="1"/>
      <c r="L51" s="1"/>
      <c r="M51" s="1"/>
      <c r="N51" s="1"/>
      <c r="O51" s="1"/>
      <c r="P51" s="1"/>
      <c r="Q51" s="1"/>
      <c r="S51" s="1"/>
      <c r="T51" s="1"/>
      <c r="U51" s="1"/>
      <c r="V51" s="1"/>
      <c r="W51" s="1"/>
      <c r="X51" s="1"/>
    </row>
    <row r="52" ht="15.75" customHeight="1">
      <c r="B52" s="1"/>
      <c r="C52" s="1"/>
      <c r="D52" s="1"/>
      <c r="E52" s="1"/>
      <c r="F52" s="1"/>
      <c r="G52" s="1"/>
      <c r="H52" s="1"/>
      <c r="I52" s="1"/>
      <c r="K52" s="1"/>
      <c r="L52" s="1"/>
      <c r="M52" s="1"/>
      <c r="N52" s="1"/>
      <c r="O52" s="1"/>
      <c r="P52" s="1"/>
      <c r="Q52" s="1"/>
      <c r="S52" s="1"/>
      <c r="T52" s="1"/>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c r="B238" s="1"/>
      <c r="C238" s="1"/>
      <c r="D238" s="1"/>
      <c r="E238" s="1"/>
      <c r="F238" s="1"/>
      <c r="G238" s="1"/>
      <c r="H238" s="1"/>
      <c r="I238" s="1"/>
      <c r="K238" s="1"/>
      <c r="L238" s="1"/>
      <c r="M238" s="1"/>
      <c r="N238" s="1"/>
      <c r="O238" s="1"/>
      <c r="P238" s="1"/>
      <c r="Q238" s="1"/>
      <c r="S238" s="1"/>
      <c r="T238" s="1"/>
      <c r="U238" s="1"/>
      <c r="V238" s="1"/>
      <c r="W238" s="1"/>
      <c r="X238" s="1"/>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3">
    <mergeCell ref="B1:I1"/>
    <mergeCell ref="B2:I2"/>
    <mergeCell ref="S5:X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s>
  <sheetData>
    <row r="1" ht="21.75" customHeight="1">
      <c r="B1" s="2" t="s">
        <v>113</v>
      </c>
      <c r="C1" s="3"/>
      <c r="D1" s="3"/>
      <c r="E1" s="3"/>
      <c r="F1" s="3"/>
      <c r="G1" s="3"/>
      <c r="H1" s="3"/>
      <c r="I1" s="5"/>
      <c r="K1" s="1"/>
      <c r="L1" s="1"/>
      <c r="M1" s="1"/>
      <c r="N1" s="1"/>
      <c r="O1" s="1"/>
      <c r="P1" s="1"/>
      <c r="Q1" s="1"/>
      <c r="S1" s="1"/>
      <c r="T1" s="1"/>
      <c r="U1" s="1"/>
      <c r="V1" s="1"/>
      <c r="W1" s="1"/>
      <c r="X1" s="1"/>
    </row>
    <row r="2" ht="15.75" customHeight="1">
      <c r="B2" s="6" t="s">
        <v>10</v>
      </c>
      <c r="C2" s="3"/>
      <c r="D2" s="3"/>
      <c r="E2" s="3"/>
      <c r="F2" s="3"/>
      <c r="G2" s="3"/>
      <c r="H2" s="3"/>
      <c r="I2" s="5"/>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2" t="s">
        <v>42</v>
      </c>
      <c r="C4" s="1"/>
      <c r="D4" s="1"/>
      <c r="E4" s="1"/>
      <c r="F4" s="1"/>
      <c r="G4" s="1"/>
      <c r="H4" s="1"/>
      <c r="I4" s="1"/>
      <c r="K4" s="12" t="s">
        <v>43</v>
      </c>
      <c r="L4" s="1"/>
      <c r="M4" s="1"/>
      <c r="N4" s="1"/>
      <c r="O4" s="1"/>
      <c r="P4" s="1"/>
      <c r="Q4" s="1"/>
      <c r="S4" s="12" t="s">
        <v>44</v>
      </c>
      <c r="T4" s="1"/>
      <c r="U4" s="1"/>
      <c r="V4" s="1"/>
      <c r="W4" s="1"/>
      <c r="X4" s="1"/>
    </row>
    <row r="5" ht="34.5" customHeight="1">
      <c r="B5" s="10" t="s">
        <v>15</v>
      </c>
      <c r="C5" s="10" t="s">
        <v>19</v>
      </c>
      <c r="D5" s="10" t="s">
        <v>18</v>
      </c>
      <c r="E5" s="10" t="s">
        <v>114</v>
      </c>
      <c r="F5" s="10" t="s">
        <v>115</v>
      </c>
      <c r="G5" s="10" t="s">
        <v>116</v>
      </c>
      <c r="H5" s="10" t="s">
        <v>49</v>
      </c>
      <c r="I5" s="10" t="s">
        <v>50</v>
      </c>
      <c r="K5" s="20" t="s">
        <v>52</v>
      </c>
      <c r="L5" s="10">
        <v>1.0</v>
      </c>
      <c r="M5" s="10">
        <v>2.0</v>
      </c>
      <c r="N5" s="10">
        <v>3.0</v>
      </c>
      <c r="O5" s="10">
        <v>4.0</v>
      </c>
      <c r="P5" s="10">
        <v>5.0</v>
      </c>
      <c r="Q5" s="20" t="s">
        <v>57</v>
      </c>
      <c r="S5" s="21" t="s">
        <v>59</v>
      </c>
    </row>
    <row r="6" ht="15.0" customHeight="1">
      <c r="B6" s="22">
        <v>1.0</v>
      </c>
      <c r="C6" s="19" t="s">
        <v>51</v>
      </c>
      <c r="D6" s="22" t="s">
        <v>47</v>
      </c>
      <c r="E6" s="23">
        <v>5.0</v>
      </c>
      <c r="F6" s="23">
        <v>4.0</v>
      </c>
      <c r="G6" s="23">
        <v>4.0</v>
      </c>
      <c r="H6" s="24" t="str">
        <f t="shared" ref="H6:H20" si="1">IF(AND(E6&lt;&gt;"",F6&lt;&gt;""),IF(E6=F6,"agree","disagree"),"")</f>
        <v>disagree</v>
      </c>
      <c r="I6" s="24" t="str">
        <f t="shared" ref="I6:I20" si="2">IF(AND(E6&lt;&gt;"",F6&lt;&gt;"",G6&lt;&gt;""),IF(ROUND((E6+F6)/2,0)=G6,"agree","disagree"),"")</f>
        <v>disagree</v>
      </c>
      <c r="K6" s="25">
        <v>1.0</v>
      </c>
      <c r="L6" s="24">
        <f>SUMPRODUCT((E$6:E$20=1)*(F$6:F$20=1))</f>
        <v>0</v>
      </c>
      <c r="M6" s="24">
        <f>SUMPRODUCT((E$6:E$20=1)*(F$6:F$20=2))</f>
        <v>0</v>
      </c>
      <c r="N6" s="24">
        <f>SUMPRODUCT((E$6:E$20=1)*(F$6:F$20=3))</f>
        <v>0</v>
      </c>
      <c r="O6" s="24">
        <f>SUMPRODUCT((E$6:E$20=1)*(F$6:F$20=4))</f>
        <v>0</v>
      </c>
      <c r="P6" s="24">
        <f>SUMPRODUCT((E$6:E$20=1)*(F$6:F$20=5))</f>
        <v>0</v>
      </c>
      <c r="Q6" s="25">
        <f t="shared" ref="Q6:Q10" si="3">SUM(L6:P6)</f>
        <v>0</v>
      </c>
      <c r="S6" s="20" t="s">
        <v>80</v>
      </c>
      <c r="T6" s="10">
        <v>1.0</v>
      </c>
      <c r="U6" s="10">
        <v>2.0</v>
      </c>
      <c r="V6" s="10">
        <v>3.0</v>
      </c>
      <c r="W6" s="10">
        <v>4.0</v>
      </c>
      <c r="X6" s="10">
        <v>5.0</v>
      </c>
    </row>
    <row r="7" ht="15.0" customHeight="1">
      <c r="B7" s="22">
        <v>2.0</v>
      </c>
      <c r="C7" s="19" t="s">
        <v>60</v>
      </c>
      <c r="D7" s="22" t="s">
        <v>47</v>
      </c>
      <c r="E7" s="23">
        <v>4.0</v>
      </c>
      <c r="F7" s="23">
        <v>4.0</v>
      </c>
      <c r="G7" s="23">
        <v>4.0</v>
      </c>
      <c r="H7" s="24" t="str">
        <f t="shared" si="1"/>
        <v>agree</v>
      </c>
      <c r="I7" s="24" t="str">
        <f t="shared" si="2"/>
        <v>agree</v>
      </c>
      <c r="K7" s="25">
        <v>2.0</v>
      </c>
      <c r="L7" s="24">
        <f>SUMPRODUCT((E$6:E$20=2)*(F$6:F$20=1))</f>
        <v>0</v>
      </c>
      <c r="M7" s="24">
        <f>SUMPRODUCT((E$6:E$20=2)*(F$6:F$20=2))</f>
        <v>0</v>
      </c>
      <c r="N7" s="24">
        <f>SUMPRODUCT((E$6:E$20=2)*(F$6:F$20=3))</f>
        <v>0</v>
      </c>
      <c r="O7" s="24">
        <f>SUMPRODUCT((E$6:E$20=2)*(F$6:F$20=4))</f>
        <v>0</v>
      </c>
      <c r="P7" s="24">
        <f>SUMPRODUCT((E$6:E$20=2)*(F$6:F$20=5))</f>
        <v>0</v>
      </c>
      <c r="Q7" s="25">
        <f t="shared" si="3"/>
        <v>0</v>
      </c>
      <c r="S7" s="20">
        <v>1.0</v>
      </c>
      <c r="T7" s="24">
        <v>1.0</v>
      </c>
      <c r="U7" s="24">
        <v>0.9375</v>
      </c>
      <c r="V7" s="24">
        <v>0.75</v>
      </c>
      <c r="W7" s="24">
        <v>0.4375</v>
      </c>
      <c r="X7" s="24">
        <v>0.0</v>
      </c>
    </row>
    <row r="8" ht="15.0" customHeight="1">
      <c r="B8" s="22">
        <v>3.0</v>
      </c>
      <c r="C8" s="19" t="s">
        <v>66</v>
      </c>
      <c r="D8" s="22" t="s">
        <v>47</v>
      </c>
      <c r="E8" s="23">
        <v>5.0</v>
      </c>
      <c r="F8" s="23">
        <v>4.0</v>
      </c>
      <c r="G8" s="23">
        <v>4.0</v>
      </c>
      <c r="H8" s="24" t="str">
        <f t="shared" si="1"/>
        <v>disagree</v>
      </c>
      <c r="I8" s="24" t="str">
        <f t="shared" si="2"/>
        <v>disagree</v>
      </c>
      <c r="K8" s="25">
        <v>3.0</v>
      </c>
      <c r="L8" s="24">
        <f>SUMPRODUCT((E$6:E$20=3)*(F$6:F$20=1))</f>
        <v>0</v>
      </c>
      <c r="M8" s="24">
        <f>SUMPRODUCT((E$6:E$20=3)*(F$6:F$20=2))</f>
        <v>0</v>
      </c>
      <c r="N8" s="24">
        <f>SUMPRODUCT((E$6:E$20=3)*(F$6:F$20=3))</f>
        <v>0</v>
      </c>
      <c r="O8" s="24">
        <f>SUMPRODUCT((E$6:E$20=3)*(F$6:F$20=4))</f>
        <v>1</v>
      </c>
      <c r="P8" s="24">
        <f>SUMPRODUCT((E$6:E$20=3)*(F$6:F$20=5))</f>
        <v>0</v>
      </c>
      <c r="Q8" s="25">
        <f t="shared" si="3"/>
        <v>1</v>
      </c>
      <c r="S8" s="20">
        <v>2.0</v>
      </c>
      <c r="T8" s="24">
        <v>0.9375</v>
      </c>
      <c r="U8" s="24">
        <v>1.0</v>
      </c>
      <c r="V8" s="24">
        <v>0.9375</v>
      </c>
      <c r="W8" s="24">
        <v>0.75</v>
      </c>
      <c r="X8" s="24">
        <v>0.4375</v>
      </c>
    </row>
    <row r="9" ht="15.0" customHeight="1">
      <c r="B9" s="22">
        <v>4.0</v>
      </c>
      <c r="C9" s="19" t="s">
        <v>71</v>
      </c>
      <c r="D9" s="22" t="s">
        <v>47</v>
      </c>
      <c r="E9" s="23">
        <v>5.0</v>
      </c>
      <c r="F9" s="23">
        <v>5.0</v>
      </c>
      <c r="G9" s="23">
        <v>4.0</v>
      </c>
      <c r="H9" s="24" t="str">
        <f t="shared" si="1"/>
        <v>agree</v>
      </c>
      <c r="I9" s="24" t="str">
        <f t="shared" si="2"/>
        <v>disagree</v>
      </c>
      <c r="K9" s="25">
        <v>4.0</v>
      </c>
      <c r="L9" s="24">
        <f>SUMPRODUCT((E$6:E$20=4)*(F$6:F$20=1))</f>
        <v>0</v>
      </c>
      <c r="M9" s="24">
        <f>SUMPRODUCT((E$6:E$20=4)*(F$6:F$20=2))</f>
        <v>0</v>
      </c>
      <c r="N9" s="24">
        <f>SUMPRODUCT((E$6:E$20=4)*(F$6:F$20=3))</f>
        <v>0</v>
      </c>
      <c r="O9" s="24">
        <f>SUMPRODUCT((E$6:E$20=4)*(F$6:F$20=4))</f>
        <v>3</v>
      </c>
      <c r="P9" s="24">
        <f>SUMPRODUCT((E$6:E$20=4)*(F$6:F$20=5))</f>
        <v>0</v>
      </c>
      <c r="Q9" s="25">
        <f t="shared" si="3"/>
        <v>3</v>
      </c>
      <c r="S9" s="20">
        <v>3.0</v>
      </c>
      <c r="T9" s="24">
        <v>0.75</v>
      </c>
      <c r="U9" s="24">
        <v>0.9375</v>
      </c>
      <c r="V9" s="24">
        <v>1.0</v>
      </c>
      <c r="W9" s="24">
        <v>0.9375</v>
      </c>
      <c r="X9" s="24">
        <v>0.75</v>
      </c>
    </row>
    <row r="10" ht="15.0" customHeight="1">
      <c r="B10" s="22">
        <v>5.0</v>
      </c>
      <c r="C10" s="19" t="s">
        <v>77</v>
      </c>
      <c r="D10" s="22" t="s">
        <v>47</v>
      </c>
      <c r="E10" s="23">
        <v>3.0</v>
      </c>
      <c r="F10" s="23">
        <v>4.0</v>
      </c>
      <c r="G10" s="23">
        <v>4.0</v>
      </c>
      <c r="H10" s="24" t="str">
        <f t="shared" si="1"/>
        <v>disagree</v>
      </c>
      <c r="I10" s="24" t="str">
        <f t="shared" si="2"/>
        <v>agree</v>
      </c>
      <c r="K10" s="25">
        <v>5.0</v>
      </c>
      <c r="L10" s="24">
        <f>SUMPRODUCT((E$6:E$20=5)*(F$6:F$20=1))</f>
        <v>0</v>
      </c>
      <c r="M10" s="24">
        <f>SUMPRODUCT((E$6:E$20=5)*(F$6:F$20=2))</f>
        <v>0</v>
      </c>
      <c r="N10" s="24">
        <f>SUMPRODUCT((E$6:E$20=5)*(F$6:F$20=3))</f>
        <v>2</v>
      </c>
      <c r="O10" s="24">
        <f>SUMPRODUCT((E$6:E$20=5)*(F$6:F$20=4))</f>
        <v>3</v>
      </c>
      <c r="P10" s="24">
        <f>SUMPRODUCT((E$6:E$20=5)*(F$6:F$20=5))</f>
        <v>6</v>
      </c>
      <c r="Q10" s="25">
        <f t="shared" si="3"/>
        <v>11</v>
      </c>
      <c r="S10" s="20">
        <v>4.0</v>
      </c>
      <c r="T10" s="24">
        <v>0.4375</v>
      </c>
      <c r="U10" s="24">
        <v>0.75</v>
      </c>
      <c r="V10" s="24">
        <v>0.9375</v>
      </c>
      <c r="W10" s="24">
        <v>1.0</v>
      </c>
      <c r="X10" s="24">
        <v>0.9375</v>
      </c>
    </row>
    <row r="11" ht="15.0" customHeight="1">
      <c r="B11" s="22">
        <v>6.0</v>
      </c>
      <c r="C11" s="19" t="s">
        <v>51</v>
      </c>
      <c r="D11" s="22" t="s">
        <v>85</v>
      </c>
      <c r="E11" s="23">
        <v>5.0</v>
      </c>
      <c r="F11" s="23">
        <v>5.0</v>
      </c>
      <c r="G11" s="23">
        <v>5.0</v>
      </c>
      <c r="H11" s="24" t="str">
        <f t="shared" si="1"/>
        <v>agree</v>
      </c>
      <c r="I11" s="24" t="str">
        <f t="shared" si="2"/>
        <v>agree</v>
      </c>
      <c r="K11" s="26" t="s">
        <v>57</v>
      </c>
      <c r="L11" s="27">
        <f t="shared" ref="L11:Q11" si="4">SUM(L6:L10)</f>
        <v>0</v>
      </c>
      <c r="M11" s="27">
        <f t="shared" si="4"/>
        <v>0</v>
      </c>
      <c r="N11" s="27">
        <f t="shared" si="4"/>
        <v>2</v>
      </c>
      <c r="O11" s="27">
        <f t="shared" si="4"/>
        <v>7</v>
      </c>
      <c r="P11" s="27">
        <f t="shared" si="4"/>
        <v>6</v>
      </c>
      <c r="Q11" s="27">
        <f t="shared" si="4"/>
        <v>15</v>
      </c>
      <c r="S11" s="20">
        <v>5.0</v>
      </c>
      <c r="T11" s="24">
        <v>0.0</v>
      </c>
      <c r="U11" s="24">
        <v>0.4375</v>
      </c>
      <c r="V11" s="24">
        <v>0.75</v>
      </c>
      <c r="W11" s="24">
        <v>0.9375</v>
      </c>
      <c r="X11" s="24">
        <v>1.0</v>
      </c>
    </row>
    <row r="12" ht="15.0" customHeight="1">
      <c r="B12" s="22">
        <v>7.0</v>
      </c>
      <c r="C12" s="19" t="s">
        <v>60</v>
      </c>
      <c r="D12" s="22" t="s">
        <v>85</v>
      </c>
      <c r="E12" s="23">
        <v>4.0</v>
      </c>
      <c r="F12" s="23">
        <v>4.0</v>
      </c>
      <c r="G12" s="23">
        <v>4.0</v>
      </c>
      <c r="H12" s="24" t="str">
        <f t="shared" si="1"/>
        <v>agree</v>
      </c>
      <c r="I12" s="24" t="str">
        <f t="shared" si="2"/>
        <v>agree</v>
      </c>
      <c r="K12" s="1"/>
      <c r="L12" s="1"/>
      <c r="M12" s="1"/>
      <c r="N12" s="1"/>
      <c r="O12" s="1"/>
      <c r="P12" s="1"/>
      <c r="Q12" s="1"/>
      <c r="S12" s="1"/>
      <c r="T12" s="1"/>
      <c r="U12" s="1"/>
      <c r="V12" s="1"/>
      <c r="W12" s="1"/>
      <c r="X12" s="1"/>
    </row>
    <row r="13" ht="15.0" customHeight="1">
      <c r="B13" s="22">
        <v>8.0</v>
      </c>
      <c r="C13" s="19" t="s">
        <v>66</v>
      </c>
      <c r="D13" s="22" t="s">
        <v>85</v>
      </c>
      <c r="E13" s="23">
        <v>5.0</v>
      </c>
      <c r="F13" s="23">
        <v>4.0</v>
      </c>
      <c r="G13" s="23">
        <v>4.0</v>
      </c>
      <c r="H13" s="24" t="str">
        <f t="shared" si="1"/>
        <v>disagree</v>
      </c>
      <c r="I13" s="24" t="str">
        <f t="shared" si="2"/>
        <v>disagree</v>
      </c>
      <c r="K13" s="12" t="s">
        <v>106</v>
      </c>
      <c r="L13" s="1"/>
      <c r="M13" s="1"/>
      <c r="N13" s="1"/>
      <c r="O13" s="1"/>
      <c r="P13" s="1"/>
      <c r="Q13" s="1"/>
      <c r="S13" s="1"/>
      <c r="T13" s="1"/>
      <c r="U13" s="1"/>
      <c r="V13" s="1"/>
      <c r="W13" s="1"/>
      <c r="X13" s="1"/>
    </row>
    <row r="14" ht="15.0" customHeight="1">
      <c r="B14" s="22">
        <v>9.0</v>
      </c>
      <c r="C14" s="19" t="s">
        <v>71</v>
      </c>
      <c r="D14" s="22" t="s">
        <v>85</v>
      </c>
      <c r="E14" s="23">
        <v>5.0</v>
      </c>
      <c r="F14" s="23">
        <v>3.0</v>
      </c>
      <c r="G14" s="23">
        <v>4.0</v>
      </c>
      <c r="H14" s="24" t="str">
        <f t="shared" si="1"/>
        <v>disagree</v>
      </c>
      <c r="I14" s="24" t="str">
        <f t="shared" si="2"/>
        <v>agree</v>
      </c>
      <c r="K14" s="20" t="s">
        <v>108</v>
      </c>
      <c r="L14" s="10">
        <v>1.0</v>
      </c>
      <c r="M14" s="10">
        <v>2.0</v>
      </c>
      <c r="N14" s="10">
        <v>3.0</v>
      </c>
      <c r="O14" s="10">
        <v>4.0</v>
      </c>
      <c r="P14" s="10">
        <v>5.0</v>
      </c>
      <c r="Q14" s="20" t="s">
        <v>57</v>
      </c>
      <c r="S14" s="1"/>
      <c r="T14" s="1"/>
      <c r="U14" s="1"/>
      <c r="V14" s="1"/>
      <c r="W14" s="1"/>
      <c r="X14" s="1"/>
    </row>
    <row r="15" ht="15.0" customHeight="1">
      <c r="B15" s="22">
        <v>10.0</v>
      </c>
      <c r="C15" s="19" t="s">
        <v>77</v>
      </c>
      <c r="D15" s="22" t="s">
        <v>85</v>
      </c>
      <c r="E15" s="23">
        <v>5.0</v>
      </c>
      <c r="F15" s="23">
        <v>5.0</v>
      </c>
      <c r="G15" s="23">
        <v>5.0</v>
      </c>
      <c r="H15" s="24" t="str">
        <f t="shared" si="1"/>
        <v>agree</v>
      </c>
      <c r="I15" s="24" t="str">
        <f t="shared" si="2"/>
        <v>agree</v>
      </c>
      <c r="K15" s="25">
        <v>1.0</v>
      </c>
      <c r="L15" s="24">
        <f>SUMPRODUCT((ROUND((E$6:E$20+F$6:F$20)/2,0)=1)*(G$6:G$20=1))</f>
        <v>0</v>
      </c>
      <c r="M15" s="24">
        <f>SUMPRODUCT((ROUND((E$6:E$20+F$6:F$20)/2,0)=1)*(G$6:G$20=2))</f>
        <v>0</v>
      </c>
      <c r="N15" s="24">
        <f>SUMPRODUCT((ROUND((E$6:E$20+F$6:F$20)/2,0)=1)*(G$6:G$20=3))</f>
        <v>0</v>
      </c>
      <c r="O15" s="24">
        <f>SUMPRODUCT((ROUND((E$6:E$20+F$6:F$20)/2,0)=1)*(G$6:G$20=4))</f>
        <v>0</v>
      </c>
      <c r="P15" s="24">
        <f>SUMPRODUCT((ROUND((E$6:E$20+F$6:F$20)/2,0)=1)*(G$6:G$20=5))</f>
        <v>0</v>
      </c>
      <c r="Q15" s="25">
        <f t="shared" ref="Q15:Q19" si="5">SUM(L15:P15)</f>
        <v>0</v>
      </c>
      <c r="S15" s="1"/>
      <c r="T15" s="1"/>
      <c r="U15" s="1"/>
      <c r="V15" s="1"/>
      <c r="W15" s="1"/>
      <c r="X15" s="1"/>
    </row>
    <row r="16" ht="23.25" customHeight="1">
      <c r="B16" s="22">
        <v>11.0</v>
      </c>
      <c r="C16" s="19" t="s">
        <v>51</v>
      </c>
      <c r="D16" s="22" t="s">
        <v>99</v>
      </c>
      <c r="E16" s="23">
        <v>5.0</v>
      </c>
      <c r="F16" s="23">
        <v>5.0</v>
      </c>
      <c r="G16" s="23">
        <v>4.0</v>
      </c>
      <c r="H16" s="24" t="str">
        <f t="shared" si="1"/>
        <v>agree</v>
      </c>
      <c r="I16" s="24" t="str">
        <f t="shared" si="2"/>
        <v>disagree</v>
      </c>
      <c r="K16" s="25">
        <v>2.0</v>
      </c>
      <c r="L16" s="24">
        <f>SUMPRODUCT((ROUND((E$6:E$20+F$6:F$20)/2,0)=2)*(G$6:G$20=1))</f>
        <v>0</v>
      </c>
      <c r="M16" s="24">
        <f>SUMPRODUCT((ROUND((E$6:E$20+F$6:F$20)/2,0)=2)*(G$6:G$20=2))</f>
        <v>0</v>
      </c>
      <c r="N16" s="24">
        <f>SUMPRODUCT((ROUND((E$6:E$20+F$6:F$20)/2,0)=2)*(G$6:G$20=3))</f>
        <v>0</v>
      </c>
      <c r="O16" s="24">
        <f>SUMPRODUCT((ROUND((E$6:E$20+F$6:F$20)/2,0)=2)*(G$6:G$20=4))</f>
        <v>0</v>
      </c>
      <c r="P16" s="24">
        <f>SUMPRODUCT((ROUND((E$6:E$20+F$6:F$20)/2,0)=2)*(G$6:G$20=5))</f>
        <v>0</v>
      </c>
      <c r="Q16" s="25">
        <f t="shared" si="5"/>
        <v>0</v>
      </c>
      <c r="S16" s="1"/>
      <c r="T16" s="1"/>
      <c r="U16" s="1"/>
      <c r="V16" s="1"/>
      <c r="W16" s="1"/>
      <c r="X16" s="1"/>
    </row>
    <row r="17" ht="23.25" customHeight="1">
      <c r="B17" s="22">
        <v>12.0</v>
      </c>
      <c r="C17" s="19" t="s">
        <v>60</v>
      </c>
      <c r="D17" s="22" t="s">
        <v>99</v>
      </c>
      <c r="E17" s="23">
        <v>5.0</v>
      </c>
      <c r="F17" s="23">
        <v>5.0</v>
      </c>
      <c r="G17" s="23">
        <v>4.0</v>
      </c>
      <c r="H17" s="24" t="str">
        <f t="shared" si="1"/>
        <v>agree</v>
      </c>
      <c r="I17" s="24" t="str">
        <f t="shared" si="2"/>
        <v>disagree</v>
      </c>
      <c r="K17" s="25">
        <v>3.0</v>
      </c>
      <c r="L17" s="24">
        <f>SUMPRODUCT((ROUND((E$6:E$20+F$6:F$20)/2,0)=3)*(G$6:G$20=1))</f>
        <v>0</v>
      </c>
      <c r="M17" s="24">
        <f>SUMPRODUCT((ROUND((E$6:E$20+F$6:F$20)/2,0)=3)*(G$6:G$20=2))</f>
        <v>0</v>
      </c>
      <c r="N17" s="24">
        <f>SUMPRODUCT((ROUND((E$6:E$20+F$6:F$20)/2,0)=3)*(G$6:G$20=3))</f>
        <v>0</v>
      </c>
      <c r="O17" s="24">
        <f>SUMPRODUCT((ROUND((E$6:E$20+F$6:F$20)/2,0)=3)*(G$6:G$20=4))</f>
        <v>0</v>
      </c>
      <c r="P17" s="24">
        <f>SUMPRODUCT((ROUND((E$6:E$20+F$6:F$20)/2,0)=3)*(G$6:G$20=5))</f>
        <v>0</v>
      </c>
      <c r="Q17" s="25">
        <f t="shared" si="5"/>
        <v>0</v>
      </c>
      <c r="S17" s="1"/>
      <c r="T17" s="1"/>
      <c r="U17" s="1"/>
      <c r="V17" s="1"/>
      <c r="W17" s="1"/>
      <c r="X17" s="1"/>
    </row>
    <row r="18" ht="23.25" customHeight="1">
      <c r="B18" s="22">
        <v>13.0</v>
      </c>
      <c r="C18" s="19" t="s">
        <v>66</v>
      </c>
      <c r="D18" s="22" t="s">
        <v>99</v>
      </c>
      <c r="E18" s="23">
        <v>4.0</v>
      </c>
      <c r="F18" s="23">
        <v>4.0</v>
      </c>
      <c r="G18" s="23">
        <v>5.0</v>
      </c>
      <c r="H18" s="24" t="str">
        <f t="shared" si="1"/>
        <v>agree</v>
      </c>
      <c r="I18" s="24" t="str">
        <f t="shared" si="2"/>
        <v>disagree</v>
      </c>
      <c r="K18" s="25">
        <v>4.0</v>
      </c>
      <c r="L18" s="24">
        <f>SUMPRODUCT((ROUND((E$6:E$20+F$6:F$20)/2,0)=4)*(G$6:G$20=1))</f>
        <v>0</v>
      </c>
      <c r="M18" s="24">
        <f>SUMPRODUCT((ROUND((E$6:E$20+F$6:F$20)/2,0)=4)*(G$6:G$20=2))</f>
        <v>0</v>
      </c>
      <c r="N18" s="24">
        <f>SUMPRODUCT((ROUND((E$6:E$20+F$6:F$20)/2,0)=4)*(G$6:G$20=3))</f>
        <v>0</v>
      </c>
      <c r="O18" s="24">
        <f>SUMPRODUCT((ROUND((E$6:E$20+F$6:F$20)/2,0)=4)*(G$6:G$20=4))</f>
        <v>5</v>
      </c>
      <c r="P18" s="24">
        <f>SUMPRODUCT((ROUND((E$6:E$20+F$6:F$20)/2,0)=4)*(G$6:G$20=5))</f>
        <v>1</v>
      </c>
      <c r="Q18" s="25">
        <f t="shared" si="5"/>
        <v>6</v>
      </c>
      <c r="S18" s="1"/>
      <c r="T18" s="1"/>
      <c r="U18" s="1"/>
      <c r="V18" s="1"/>
      <c r="W18" s="1"/>
      <c r="X18" s="1"/>
    </row>
    <row r="19" ht="23.25" customHeight="1">
      <c r="B19" s="22">
        <v>14.0</v>
      </c>
      <c r="C19" s="19" t="s">
        <v>71</v>
      </c>
      <c r="D19" s="22" t="s">
        <v>99</v>
      </c>
      <c r="E19" s="23">
        <v>5.0</v>
      </c>
      <c r="F19" s="23">
        <v>3.0</v>
      </c>
      <c r="G19" s="23">
        <v>4.0</v>
      </c>
      <c r="H19" s="24" t="str">
        <f t="shared" si="1"/>
        <v>disagree</v>
      </c>
      <c r="I19" s="24" t="str">
        <f t="shared" si="2"/>
        <v>agree</v>
      </c>
      <c r="K19" s="25">
        <v>5.0</v>
      </c>
      <c r="L19" s="24">
        <f>SUMPRODUCT((ROUND((E$6:E$20+F$6:F$20)/2,0)=5)*(G$6:G$20=1))</f>
        <v>0</v>
      </c>
      <c r="M19" s="24">
        <f>SUMPRODUCT((ROUND((E$6:E$20+F$6:F$20)/2,0)=5)*(G$6:G$20=2))</f>
        <v>0</v>
      </c>
      <c r="N19" s="24">
        <f>SUMPRODUCT((ROUND((E$6:E$20+F$6:F$20)/2,0)=5)*(G$6:G$20=3))</f>
        <v>0</v>
      </c>
      <c r="O19" s="24">
        <f>SUMPRODUCT((ROUND((E$6:E$20+F$6:F$20)/2,0)=5)*(G$6:G$20=4))</f>
        <v>6</v>
      </c>
      <c r="P19" s="24">
        <f>SUMPRODUCT((ROUND((E$6:E$20+F$6:F$20)/2,0)=5)*(G$6:G$20=5))</f>
        <v>3</v>
      </c>
      <c r="Q19" s="25">
        <f t="shared" si="5"/>
        <v>9</v>
      </c>
      <c r="S19" s="1"/>
      <c r="T19" s="1"/>
      <c r="U19" s="1"/>
      <c r="V19" s="1"/>
      <c r="W19" s="1"/>
      <c r="X19" s="1"/>
    </row>
    <row r="20" ht="23.25" customHeight="1">
      <c r="B20" s="22">
        <v>15.0</v>
      </c>
      <c r="C20" s="19" t="s">
        <v>77</v>
      </c>
      <c r="D20" s="22" t="s">
        <v>99</v>
      </c>
      <c r="E20" s="23">
        <v>5.0</v>
      </c>
      <c r="F20" s="23">
        <v>5.0</v>
      </c>
      <c r="G20" s="23">
        <v>5.0</v>
      </c>
      <c r="H20" s="24" t="str">
        <f t="shared" si="1"/>
        <v>agree</v>
      </c>
      <c r="I20" s="24" t="str">
        <f t="shared" si="2"/>
        <v>agree</v>
      </c>
      <c r="K20" s="26" t="s">
        <v>57</v>
      </c>
      <c r="L20" s="27">
        <f t="shared" ref="L20:Q20" si="6">SUM(L15:L19)</f>
        <v>0</v>
      </c>
      <c r="M20" s="27">
        <f t="shared" si="6"/>
        <v>0</v>
      </c>
      <c r="N20" s="27">
        <f t="shared" si="6"/>
        <v>0</v>
      </c>
      <c r="O20" s="27">
        <f t="shared" si="6"/>
        <v>11</v>
      </c>
      <c r="P20" s="27">
        <f t="shared" si="6"/>
        <v>4</v>
      </c>
      <c r="Q20" s="27">
        <f t="shared" si="6"/>
        <v>15</v>
      </c>
      <c r="S20" s="1"/>
      <c r="T20" s="1"/>
      <c r="U20" s="1"/>
      <c r="V20" s="1"/>
      <c r="W20" s="1"/>
      <c r="X20" s="1"/>
    </row>
    <row r="21" ht="15.0" customHeight="1">
      <c r="B21" s="28" t="s">
        <v>117</v>
      </c>
      <c r="C21" s="1"/>
      <c r="D21" s="1"/>
      <c r="E21" s="1"/>
      <c r="F21" s="1"/>
      <c r="G21" s="1"/>
      <c r="H21" s="28">
        <f>COUNTIF(H6:H20,"agree")/15</f>
        <v>0.6</v>
      </c>
      <c r="I21" s="1"/>
      <c r="K21" s="1"/>
      <c r="L21" s="1"/>
      <c r="M21" s="1"/>
      <c r="N21" s="1"/>
      <c r="O21" s="1"/>
      <c r="P21" s="1"/>
      <c r="Q21" s="1"/>
      <c r="S21" s="1"/>
      <c r="T21" s="1"/>
      <c r="U21" s="1"/>
      <c r="V21" s="1"/>
      <c r="W21" s="1"/>
      <c r="X21" s="1"/>
    </row>
    <row r="22" ht="15.0" customHeight="1">
      <c r="B22" s="28" t="s">
        <v>118</v>
      </c>
      <c r="C22" s="1"/>
      <c r="D22" s="1"/>
      <c r="E22" s="1"/>
      <c r="F22" s="1"/>
      <c r="G22" s="1"/>
      <c r="H22" s="28">
        <f>COUNTIF(I6:I20,"agree")/15</f>
        <v>0.5333333333</v>
      </c>
      <c r="I22" s="1"/>
      <c r="K22" s="12" t="s">
        <v>142</v>
      </c>
      <c r="L22" s="1"/>
      <c r="M22" s="1"/>
      <c r="N22" s="1"/>
      <c r="O22" s="1"/>
      <c r="P22" s="1"/>
      <c r="Q22" s="1"/>
      <c r="S22" s="1"/>
      <c r="T22" s="1"/>
      <c r="U22" s="1"/>
      <c r="V22" s="1"/>
      <c r="W22" s="1"/>
      <c r="X22" s="1"/>
    </row>
    <row r="23" ht="15.0" customHeight="1">
      <c r="B23" s="1"/>
      <c r="C23" s="1"/>
      <c r="D23" s="1"/>
      <c r="E23" s="1"/>
      <c r="F23" s="1"/>
      <c r="G23" s="1"/>
      <c r="H23" s="1"/>
      <c r="I23" s="1"/>
      <c r="K23" s="28" t="s">
        <v>120</v>
      </c>
      <c r="L23" s="1"/>
      <c r="M23" s="1"/>
      <c r="N23" s="1"/>
      <c r="O23" s="1"/>
      <c r="P23" s="1"/>
      <c r="Q23" s="1"/>
      <c r="S23" s="1"/>
      <c r="T23" s="1"/>
      <c r="U23" s="1"/>
      <c r="V23" s="30">
        <f>SUMPRODUCT($L$6:$P$10,$T$7:$X$11)/$Q$11</f>
        <v>0.95</v>
      </c>
      <c r="W23" s="1"/>
      <c r="X23" s="1"/>
    </row>
    <row r="24" ht="15.0" customHeight="1">
      <c r="B24" s="1"/>
      <c r="C24" s="1"/>
      <c r="D24" s="1"/>
      <c r="E24" s="1"/>
      <c r="F24" s="1"/>
      <c r="G24" s="1"/>
      <c r="H24" s="1"/>
      <c r="I24" s="1"/>
      <c r="K24" s="28" t="s">
        <v>121</v>
      </c>
      <c r="L24" s="1"/>
      <c r="M24" s="1"/>
      <c r="N24" s="1"/>
      <c r="O24" s="1"/>
      <c r="P24" s="1"/>
      <c r="Q24" s="1"/>
      <c r="S24" s="1"/>
      <c r="T24" s="1"/>
      <c r="U24" s="1"/>
      <c r="V24" s="30">
        <f t="array" ref="V24">SUMPRODUCT($Q$6:$Q$10,MMULT($T$7:$X$11,TRANSPOSE($L$11:$P$11)))/($Q$11^2)</f>
        <v>0.9388888889</v>
      </c>
      <c r="W24" s="1"/>
      <c r="X24" s="1"/>
    </row>
    <row r="25" ht="15.0" customHeight="1">
      <c r="B25" s="1"/>
      <c r="C25" s="1"/>
      <c r="D25" s="1"/>
      <c r="E25" s="1"/>
      <c r="F25" s="1"/>
      <c r="G25" s="1"/>
      <c r="H25" s="1"/>
      <c r="I25" s="1"/>
      <c r="K25" s="28" t="s">
        <v>122</v>
      </c>
      <c r="L25" s="1"/>
      <c r="M25" s="1"/>
      <c r="N25" s="1"/>
      <c r="O25" s="1"/>
      <c r="P25" s="1"/>
      <c r="Q25" s="1"/>
      <c r="S25" s="1"/>
      <c r="T25" s="1"/>
      <c r="U25" s="1"/>
      <c r="V25" s="30">
        <f>(V23-V24)/(1-V24)</f>
        <v>0.1818181818</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8" t="s">
        <v>123</v>
      </c>
      <c r="L27" s="1"/>
      <c r="M27" s="1"/>
      <c r="N27" s="1"/>
      <c r="O27" s="1"/>
      <c r="P27" s="1"/>
      <c r="Q27" s="1"/>
      <c r="S27" s="1"/>
      <c r="T27" s="1"/>
      <c r="U27" s="1"/>
      <c r="V27" s="30">
        <f>SUMPRODUCT($L$15:$P$19,$T$7:$X$11)/$Q$20</f>
        <v>0.9708333333</v>
      </c>
      <c r="W27" s="1"/>
      <c r="X27" s="1"/>
    </row>
    <row r="28" ht="15.0" customHeight="1">
      <c r="B28" s="1"/>
      <c r="C28" s="1"/>
      <c r="D28" s="1"/>
      <c r="E28" s="1"/>
      <c r="F28" s="1"/>
      <c r="G28" s="1"/>
      <c r="H28" s="1"/>
      <c r="I28" s="1"/>
      <c r="K28" s="28" t="s">
        <v>124</v>
      </c>
      <c r="L28" s="1"/>
      <c r="M28" s="1"/>
      <c r="N28" s="1"/>
      <c r="O28" s="1"/>
      <c r="P28" s="1"/>
      <c r="Q28" s="1"/>
      <c r="S28" s="1"/>
      <c r="T28" s="1"/>
      <c r="U28" s="1"/>
      <c r="V28" s="30">
        <f t="array" ref="V28">SUMPRODUCT($Q$15:$Q$19,MMULT($T$7:$X$11,TRANSPOSE($L$20:$P$20)))/($Q$20^2)</f>
        <v>0.9658333333</v>
      </c>
      <c r="W28" s="1"/>
      <c r="X28" s="1"/>
    </row>
    <row r="29" ht="15.0" customHeight="1">
      <c r="B29" s="1"/>
      <c r="C29" s="1"/>
      <c r="D29" s="1"/>
      <c r="E29" s="1"/>
      <c r="F29" s="1"/>
      <c r="G29" s="1"/>
      <c r="H29" s="1"/>
      <c r="I29" s="1"/>
      <c r="K29" s="28" t="s">
        <v>125</v>
      </c>
      <c r="L29" s="1"/>
      <c r="M29" s="1"/>
      <c r="N29" s="1"/>
      <c r="O29" s="1"/>
      <c r="P29" s="1"/>
      <c r="Q29" s="1"/>
      <c r="S29" s="1"/>
      <c r="T29" s="1"/>
      <c r="U29" s="1"/>
      <c r="V29" s="30">
        <f>(V27-V28)/(1-V28)</f>
        <v>0.1463414634</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75" customHeight="1">
      <c r="B31" s="1"/>
      <c r="C31" s="1"/>
      <c r="D31" s="1"/>
      <c r="E31" s="1"/>
      <c r="F31" s="1"/>
      <c r="G31" s="1"/>
      <c r="H31" s="1"/>
      <c r="I31" s="1"/>
      <c r="K31" s="1"/>
      <c r="L31" s="1"/>
      <c r="M31" s="1"/>
      <c r="N31" s="1"/>
      <c r="O31" s="1"/>
      <c r="P31" s="1"/>
      <c r="Q31" s="1"/>
      <c r="S31" s="1"/>
      <c r="T31" s="1"/>
      <c r="U31" s="1"/>
      <c r="V31" s="1"/>
      <c r="W31" s="1"/>
      <c r="X31" s="1"/>
    </row>
    <row r="32" ht="15.0" customHeight="1">
      <c r="B32" s="1"/>
      <c r="C32" s="1"/>
      <c r="D32" s="1"/>
      <c r="E32" s="1"/>
      <c r="F32" s="1"/>
      <c r="G32" s="1"/>
      <c r="H32" s="1"/>
      <c r="I32" s="1"/>
      <c r="K32" s="12" t="s">
        <v>126</v>
      </c>
      <c r="L32" s="1"/>
      <c r="M32" s="1"/>
      <c r="N32" s="1"/>
      <c r="O32" s="1"/>
      <c r="P32" s="1"/>
      <c r="Q32" s="1"/>
      <c r="S32" s="1"/>
      <c r="T32" s="1"/>
      <c r="U32" s="1"/>
      <c r="V32" s="1"/>
      <c r="W32" s="1"/>
      <c r="X32" s="1"/>
    </row>
    <row r="33" ht="15.0" customHeight="1">
      <c r="B33" s="1"/>
      <c r="C33" s="1"/>
      <c r="D33" s="1"/>
      <c r="E33" s="1"/>
      <c r="F33" s="1"/>
      <c r="G33" s="1"/>
      <c r="H33" s="1"/>
      <c r="I33" s="1"/>
      <c r="K33" s="28" t="s">
        <v>127</v>
      </c>
      <c r="L33" s="1"/>
      <c r="M33" s="1"/>
      <c r="N33" s="1"/>
      <c r="O33" s="28" t="s">
        <v>128</v>
      </c>
      <c r="P33" s="1"/>
      <c r="Q33" s="1"/>
      <c r="S33" s="1"/>
      <c r="T33" s="28" t="s">
        <v>129</v>
      </c>
      <c r="U33" s="1"/>
      <c r="V33" s="1"/>
      <c r="W33" s="1"/>
      <c r="X33" s="1"/>
    </row>
    <row r="34" ht="15.0" customHeight="1">
      <c r="B34" s="1"/>
      <c r="C34" s="1"/>
      <c r="D34" s="1"/>
      <c r="E34" s="1"/>
      <c r="F34" s="1"/>
      <c r="G34" s="1"/>
      <c r="H34" s="1"/>
      <c r="I34" s="1"/>
      <c r="K34" s="28" t="s">
        <v>130</v>
      </c>
      <c r="L34" s="1"/>
      <c r="M34" s="1"/>
      <c r="N34" s="1"/>
      <c r="O34" s="28" t="s">
        <v>131</v>
      </c>
      <c r="P34" s="1"/>
      <c r="Q34" s="1"/>
      <c r="S34" s="1"/>
      <c r="T34" s="28" t="s">
        <v>132</v>
      </c>
      <c r="U34" s="1"/>
      <c r="V34" s="1"/>
      <c r="W34" s="1"/>
      <c r="X34" s="1"/>
    </row>
    <row r="35" ht="15.0" customHeight="1">
      <c r="B35" s="1"/>
      <c r="C35" s="1"/>
      <c r="D35" s="1"/>
      <c r="E35" s="1"/>
      <c r="F35" s="1"/>
      <c r="G35" s="1"/>
      <c r="H35" s="1"/>
      <c r="I35" s="1"/>
      <c r="K35" s="28" t="s">
        <v>133</v>
      </c>
      <c r="L35" s="1"/>
      <c r="M35" s="1"/>
      <c r="N35" s="1"/>
      <c r="O35" s="28" t="s">
        <v>134</v>
      </c>
      <c r="P35" s="1"/>
      <c r="Q35" s="1"/>
      <c r="S35" s="1"/>
      <c r="T35" s="28" t="s">
        <v>135</v>
      </c>
      <c r="U35" s="1"/>
      <c r="V35" s="1"/>
      <c r="W35" s="1"/>
      <c r="X35" s="1"/>
    </row>
    <row r="36" ht="15.0" customHeight="1">
      <c r="B36" s="1"/>
      <c r="C36" s="1"/>
      <c r="D36" s="1"/>
      <c r="E36" s="1"/>
      <c r="F36" s="1"/>
      <c r="G36" s="1"/>
      <c r="H36" s="1"/>
      <c r="I36" s="1"/>
      <c r="K36" s="28" t="s">
        <v>136</v>
      </c>
      <c r="L36" s="1"/>
      <c r="M36" s="1"/>
      <c r="N36" s="1"/>
      <c r="O36" s="28" t="s">
        <v>137</v>
      </c>
      <c r="P36" s="1"/>
      <c r="Q36" s="1"/>
      <c r="S36" s="1"/>
      <c r="T36" s="28" t="s">
        <v>138</v>
      </c>
      <c r="U36" s="1"/>
      <c r="V36" s="1"/>
      <c r="W36" s="1"/>
      <c r="X36" s="1"/>
    </row>
    <row r="37" ht="15.0" customHeight="1">
      <c r="B37" s="1"/>
      <c r="C37" s="1"/>
      <c r="D37" s="1"/>
      <c r="E37" s="1"/>
      <c r="F37" s="1"/>
      <c r="G37" s="1"/>
      <c r="H37" s="1"/>
      <c r="I37" s="1"/>
      <c r="K37" s="28" t="s">
        <v>139</v>
      </c>
      <c r="L37" s="1"/>
      <c r="M37" s="1"/>
      <c r="N37" s="1"/>
      <c r="O37" s="28" t="s">
        <v>140</v>
      </c>
      <c r="P37" s="1"/>
      <c r="Q37" s="1"/>
      <c r="S37" s="1"/>
      <c r="T37" s="28" t="s">
        <v>141</v>
      </c>
      <c r="U37" s="1"/>
      <c r="V37" s="1"/>
      <c r="W37" s="1"/>
      <c r="X37" s="1"/>
    </row>
    <row r="38" ht="15.75" customHeight="1">
      <c r="B38" s="1"/>
      <c r="C38" s="1"/>
      <c r="D38" s="1"/>
      <c r="E38" s="1"/>
      <c r="F38" s="1"/>
      <c r="G38" s="1"/>
      <c r="H38" s="1"/>
      <c r="I38" s="1"/>
      <c r="K38" s="1"/>
      <c r="L38" s="1"/>
      <c r="M38" s="1"/>
      <c r="N38" s="1"/>
      <c r="O38" s="1"/>
      <c r="P38" s="1"/>
      <c r="Q38" s="1"/>
      <c r="S38" s="1"/>
      <c r="T38" s="1"/>
      <c r="U38" s="1"/>
      <c r="V38" s="1"/>
      <c r="W38" s="1"/>
      <c r="X38" s="1"/>
    </row>
    <row r="39" ht="15.75" customHeight="1">
      <c r="B39" s="1"/>
      <c r="C39" s="1"/>
      <c r="D39" s="1"/>
      <c r="E39" s="1"/>
      <c r="F39" s="1"/>
      <c r="G39" s="1"/>
      <c r="H39" s="1"/>
      <c r="I39" s="1"/>
      <c r="K39" s="1"/>
      <c r="L39" s="1"/>
      <c r="M39" s="1"/>
      <c r="N39" s="1"/>
      <c r="O39" s="1"/>
      <c r="P39" s="1"/>
      <c r="Q39" s="1"/>
      <c r="S39" s="1"/>
      <c r="T39" s="1"/>
      <c r="U39" s="1"/>
      <c r="V39" s="1"/>
      <c r="W39" s="1"/>
      <c r="X39" s="1"/>
    </row>
    <row r="40" ht="15.75" customHeight="1">
      <c r="B40" s="1"/>
      <c r="C40" s="1"/>
      <c r="D40" s="1"/>
      <c r="E40" s="1"/>
      <c r="F40" s="1"/>
      <c r="G40" s="1"/>
      <c r="H40" s="1"/>
      <c r="I40" s="1"/>
      <c r="K40" s="1"/>
      <c r="L40" s="1"/>
      <c r="M40" s="1"/>
      <c r="N40" s="1"/>
      <c r="O40" s="1"/>
      <c r="P40" s="1"/>
      <c r="Q40" s="1"/>
      <c r="S40" s="1"/>
      <c r="T40" s="1"/>
      <c r="U40" s="1"/>
      <c r="V40" s="1"/>
      <c r="W40" s="1"/>
      <c r="X40" s="1"/>
    </row>
    <row r="41" ht="15.75" customHeight="1">
      <c r="B41" s="1"/>
      <c r="C41" s="1"/>
      <c r="D41" s="1"/>
      <c r="E41" s="1"/>
      <c r="F41" s="1"/>
      <c r="G41" s="1"/>
      <c r="H41" s="1"/>
      <c r="I41" s="1"/>
      <c r="K41" s="1"/>
      <c r="L41" s="1"/>
      <c r="M41" s="1"/>
      <c r="N41" s="1"/>
      <c r="O41" s="1"/>
      <c r="P41" s="1"/>
      <c r="Q41" s="1"/>
      <c r="S41" s="1"/>
      <c r="T41" s="1"/>
      <c r="U41" s="1"/>
      <c r="V41" s="1"/>
      <c r="W41" s="1"/>
      <c r="X41" s="1"/>
    </row>
    <row r="42" ht="15.75" customHeight="1">
      <c r="B42" s="1"/>
      <c r="C42" s="1"/>
      <c r="D42" s="1"/>
      <c r="E42" s="1"/>
      <c r="F42" s="1"/>
      <c r="G42" s="1"/>
      <c r="H42" s="1"/>
      <c r="I42" s="1"/>
      <c r="K42" s="1"/>
      <c r="L42" s="1"/>
      <c r="M42" s="1"/>
      <c r="N42" s="1"/>
      <c r="O42" s="1"/>
      <c r="P42" s="1"/>
      <c r="Q42" s="1"/>
      <c r="S42" s="1"/>
      <c r="T42" s="1"/>
      <c r="U42" s="1"/>
      <c r="V42" s="1"/>
      <c r="W42" s="1"/>
      <c r="X42" s="1"/>
    </row>
    <row r="43" ht="15.75" customHeight="1">
      <c r="B43" s="1"/>
      <c r="C43" s="1"/>
      <c r="D43" s="1"/>
      <c r="E43" s="1"/>
      <c r="F43" s="1"/>
      <c r="G43" s="1"/>
      <c r="H43" s="1"/>
      <c r="I43" s="1"/>
      <c r="K43" s="1"/>
      <c r="L43" s="1"/>
      <c r="M43" s="1"/>
      <c r="N43" s="1"/>
      <c r="O43" s="1"/>
      <c r="P43" s="1"/>
      <c r="Q43" s="1"/>
      <c r="S43" s="1"/>
      <c r="T43" s="1"/>
      <c r="U43" s="1"/>
      <c r="V43" s="1"/>
      <c r="W43" s="1"/>
      <c r="X43" s="1"/>
    </row>
    <row r="44" ht="15.75" customHeight="1">
      <c r="B44" s="1"/>
      <c r="C44" s="1"/>
      <c r="D44" s="1"/>
      <c r="E44" s="1"/>
      <c r="F44" s="1"/>
      <c r="G44" s="1"/>
      <c r="H44" s="1"/>
      <c r="I44" s="1"/>
      <c r="K44" s="1"/>
      <c r="L44" s="1"/>
      <c r="M44" s="1"/>
      <c r="N44" s="1"/>
      <c r="O44" s="1"/>
      <c r="P44" s="1"/>
      <c r="Q44" s="1"/>
      <c r="S44" s="1"/>
      <c r="T44" s="1"/>
      <c r="U44" s="1"/>
      <c r="V44" s="1"/>
      <c r="W44" s="1"/>
      <c r="X44" s="1"/>
    </row>
    <row r="45" ht="15.75" customHeight="1">
      <c r="B45" s="1"/>
      <c r="C45" s="1"/>
      <c r="D45" s="1"/>
      <c r="E45" s="1"/>
      <c r="F45" s="1"/>
      <c r="G45" s="1"/>
      <c r="H45" s="1"/>
      <c r="I45" s="1"/>
      <c r="K45" s="1"/>
      <c r="L45" s="1"/>
      <c r="M45" s="1"/>
      <c r="N45" s="1"/>
      <c r="O45" s="1"/>
      <c r="P45" s="1"/>
      <c r="Q45" s="1"/>
      <c r="S45" s="1"/>
      <c r="T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75" customHeight="1">
      <c r="B47" s="1"/>
      <c r="C47" s="1"/>
      <c r="D47" s="1"/>
      <c r="E47" s="1"/>
      <c r="F47" s="1"/>
      <c r="G47" s="1"/>
      <c r="H47" s="1"/>
      <c r="I47" s="1"/>
      <c r="K47" s="1"/>
      <c r="L47" s="1"/>
      <c r="M47" s="1"/>
      <c r="N47" s="1"/>
      <c r="O47" s="1"/>
      <c r="P47" s="1"/>
      <c r="Q47" s="1"/>
      <c r="S47" s="1"/>
      <c r="T47" s="1"/>
      <c r="U47" s="1"/>
      <c r="V47" s="1"/>
      <c r="W47" s="1"/>
      <c r="X47" s="1"/>
    </row>
    <row r="48" ht="15.75" customHeight="1">
      <c r="B48" s="1"/>
      <c r="C48" s="1"/>
      <c r="D48" s="1"/>
      <c r="E48" s="1"/>
      <c r="F48" s="1"/>
      <c r="G48" s="1"/>
      <c r="H48" s="1"/>
      <c r="I48" s="1"/>
      <c r="K48" s="1"/>
      <c r="L48" s="1"/>
      <c r="M48" s="1"/>
      <c r="N48" s="1"/>
      <c r="O48" s="1"/>
      <c r="P48" s="1"/>
      <c r="Q48" s="1"/>
      <c r="S48" s="1"/>
      <c r="T48" s="1"/>
      <c r="U48" s="1"/>
      <c r="V48" s="1"/>
      <c r="W48" s="1"/>
      <c r="X48" s="1"/>
    </row>
    <row r="49" ht="15.75" customHeight="1">
      <c r="B49" s="1"/>
      <c r="C49" s="1"/>
      <c r="D49" s="1"/>
      <c r="E49" s="1"/>
      <c r="F49" s="1"/>
      <c r="G49" s="1"/>
      <c r="H49" s="1"/>
      <c r="I49" s="1"/>
      <c r="K49" s="1"/>
      <c r="L49" s="1"/>
      <c r="M49" s="1"/>
      <c r="N49" s="1"/>
      <c r="O49" s="1"/>
      <c r="P49" s="1"/>
      <c r="Q49" s="1"/>
      <c r="S49" s="1"/>
      <c r="T49" s="1"/>
      <c r="U49" s="1"/>
      <c r="V49" s="1"/>
      <c r="W49" s="1"/>
      <c r="X49" s="1"/>
    </row>
    <row r="50" ht="15.75" customHeight="1">
      <c r="B50" s="1"/>
      <c r="C50" s="1"/>
      <c r="D50" s="1"/>
      <c r="E50" s="1"/>
      <c r="F50" s="1"/>
      <c r="G50" s="1"/>
      <c r="H50" s="1"/>
      <c r="I50" s="1"/>
      <c r="K50" s="1"/>
      <c r="L50" s="1"/>
      <c r="M50" s="1"/>
      <c r="N50" s="1"/>
      <c r="O50" s="1"/>
      <c r="P50" s="1"/>
      <c r="Q50" s="1"/>
      <c r="S50" s="1"/>
      <c r="T50" s="1"/>
      <c r="U50" s="1"/>
      <c r="V50" s="1"/>
      <c r="W50" s="1"/>
      <c r="X50" s="1"/>
    </row>
    <row r="51" ht="15.75" customHeight="1">
      <c r="B51" s="1"/>
      <c r="C51" s="1"/>
      <c r="D51" s="1"/>
      <c r="E51" s="1"/>
      <c r="F51" s="1"/>
      <c r="G51" s="1"/>
      <c r="H51" s="1"/>
      <c r="I51" s="1"/>
      <c r="K51" s="1"/>
      <c r="L51" s="1"/>
      <c r="M51" s="1"/>
      <c r="N51" s="1"/>
      <c r="O51" s="1"/>
      <c r="P51" s="1"/>
      <c r="Q51" s="1"/>
      <c r="S51" s="1"/>
      <c r="T51" s="1"/>
      <c r="U51" s="1"/>
      <c r="V51" s="1"/>
      <c r="W51" s="1"/>
      <c r="X51" s="1"/>
    </row>
    <row r="52" ht="15.75" customHeight="1">
      <c r="B52" s="1"/>
      <c r="C52" s="1"/>
      <c r="D52" s="1"/>
      <c r="E52" s="1"/>
      <c r="F52" s="1"/>
      <c r="G52" s="1"/>
      <c r="H52" s="1"/>
      <c r="I52" s="1"/>
      <c r="K52" s="1"/>
      <c r="L52" s="1"/>
      <c r="M52" s="1"/>
      <c r="N52" s="1"/>
      <c r="O52" s="1"/>
      <c r="P52" s="1"/>
      <c r="Q52" s="1"/>
      <c r="S52" s="1"/>
      <c r="T52" s="1"/>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
    <mergeCell ref="B1:I1"/>
    <mergeCell ref="B2:I2"/>
    <mergeCell ref="S5:X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s>
  <sheetData>
    <row r="1" ht="21.75" customHeight="1">
      <c r="B1" s="2" t="s">
        <v>143</v>
      </c>
      <c r="C1" s="3"/>
      <c r="D1" s="3"/>
      <c r="E1" s="3"/>
      <c r="F1" s="3"/>
      <c r="G1" s="3"/>
      <c r="H1" s="3"/>
      <c r="I1" s="5"/>
      <c r="K1" s="1"/>
      <c r="L1" s="1"/>
      <c r="M1" s="1"/>
      <c r="N1" s="1"/>
      <c r="O1" s="1"/>
      <c r="P1" s="1"/>
      <c r="Q1" s="1"/>
      <c r="S1" s="1"/>
      <c r="T1" s="1"/>
      <c r="U1" s="1"/>
      <c r="V1" s="1"/>
      <c r="W1" s="1"/>
      <c r="X1" s="1"/>
    </row>
    <row r="2" ht="15.75" customHeight="1">
      <c r="B2" s="6" t="s">
        <v>10</v>
      </c>
      <c r="C2" s="3"/>
      <c r="D2" s="3"/>
      <c r="E2" s="3"/>
      <c r="F2" s="3"/>
      <c r="G2" s="3"/>
      <c r="H2" s="3"/>
      <c r="I2" s="5"/>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2" t="s">
        <v>42</v>
      </c>
      <c r="C4" s="1"/>
      <c r="D4" s="1"/>
      <c r="E4" s="1"/>
      <c r="F4" s="1"/>
      <c r="G4" s="1"/>
      <c r="H4" s="1"/>
      <c r="I4" s="1"/>
      <c r="K4" s="12" t="s">
        <v>43</v>
      </c>
      <c r="L4" s="1"/>
      <c r="M4" s="1"/>
      <c r="N4" s="1"/>
      <c r="O4" s="1"/>
      <c r="P4" s="1"/>
      <c r="Q4" s="1"/>
      <c r="S4" s="12" t="s">
        <v>44</v>
      </c>
      <c r="T4" s="1"/>
      <c r="U4" s="1"/>
      <c r="V4" s="1"/>
      <c r="W4" s="1"/>
      <c r="X4" s="1"/>
    </row>
    <row r="5" ht="34.5" customHeight="1">
      <c r="B5" s="10" t="s">
        <v>15</v>
      </c>
      <c r="C5" s="10" t="s">
        <v>19</v>
      </c>
      <c r="D5" s="10" t="s">
        <v>18</v>
      </c>
      <c r="E5" s="10" t="s">
        <v>144</v>
      </c>
      <c r="F5" s="10" t="s">
        <v>145</v>
      </c>
      <c r="G5" s="10" t="s">
        <v>146</v>
      </c>
      <c r="H5" s="10" t="s">
        <v>49</v>
      </c>
      <c r="I5" s="10" t="s">
        <v>50</v>
      </c>
      <c r="K5" s="20" t="s">
        <v>52</v>
      </c>
      <c r="L5" s="10">
        <v>1.0</v>
      </c>
      <c r="M5" s="10">
        <v>2.0</v>
      </c>
      <c r="N5" s="10">
        <v>3.0</v>
      </c>
      <c r="O5" s="10">
        <v>4.0</v>
      </c>
      <c r="P5" s="10">
        <v>5.0</v>
      </c>
      <c r="Q5" s="20" t="s">
        <v>57</v>
      </c>
      <c r="S5" s="21" t="s">
        <v>59</v>
      </c>
    </row>
    <row r="6" ht="15.0" customHeight="1">
      <c r="B6" s="22">
        <v>1.0</v>
      </c>
      <c r="C6" s="19" t="s">
        <v>51</v>
      </c>
      <c r="D6" s="22" t="s">
        <v>47</v>
      </c>
      <c r="E6" s="23">
        <v>5.0</v>
      </c>
      <c r="F6" s="23">
        <v>5.0</v>
      </c>
      <c r="G6" s="23">
        <v>4.0</v>
      </c>
      <c r="H6" s="24" t="str">
        <f t="shared" ref="H6:H20" si="1">IF(AND(E6&lt;&gt;"",F6&lt;&gt;""),IF(E6=F6,"agree","disagree"),"")</f>
        <v>agree</v>
      </c>
      <c r="I6" s="24" t="str">
        <f t="shared" ref="I6:I20" si="2">IF(AND(E6&lt;&gt;"",F6&lt;&gt;"",G6&lt;&gt;""),IF(ROUND((E6+F6)/2,0)=G6,"agree","disagree"),"")</f>
        <v>disagree</v>
      </c>
      <c r="K6" s="25">
        <v>1.0</v>
      </c>
      <c r="L6" s="24">
        <f>SUMPRODUCT((E$6:E$20=1)*(F$6:F$20=1))</f>
        <v>0</v>
      </c>
      <c r="M6" s="24">
        <f>SUMPRODUCT((E$6:E$20=1)*(F$6:F$20=2))</f>
        <v>0</v>
      </c>
      <c r="N6" s="24">
        <f>SUMPRODUCT((E$6:E$20=1)*(F$6:F$20=3))</f>
        <v>0</v>
      </c>
      <c r="O6" s="24">
        <f>SUMPRODUCT((E$6:E$20=1)*(F$6:F$20=4))</f>
        <v>0</v>
      </c>
      <c r="P6" s="24">
        <f>SUMPRODUCT((E$6:E$20=1)*(F$6:F$20=5))</f>
        <v>0</v>
      </c>
      <c r="Q6" s="25">
        <f t="shared" ref="Q6:Q10" si="3">SUM(L6:P6)</f>
        <v>0</v>
      </c>
      <c r="S6" s="20" t="s">
        <v>80</v>
      </c>
      <c r="T6" s="10">
        <v>1.0</v>
      </c>
      <c r="U6" s="10">
        <v>2.0</v>
      </c>
      <c r="V6" s="10">
        <v>3.0</v>
      </c>
      <c r="W6" s="10">
        <v>4.0</v>
      </c>
      <c r="X6" s="10">
        <v>5.0</v>
      </c>
    </row>
    <row r="7" ht="15.0" customHeight="1">
      <c r="B7" s="22">
        <v>2.0</v>
      </c>
      <c r="C7" s="19" t="s">
        <v>60</v>
      </c>
      <c r="D7" s="22" t="s">
        <v>47</v>
      </c>
      <c r="E7" s="23">
        <v>4.0</v>
      </c>
      <c r="F7" s="23">
        <v>4.0</v>
      </c>
      <c r="G7" s="23">
        <v>5.0</v>
      </c>
      <c r="H7" s="24" t="str">
        <f t="shared" si="1"/>
        <v>agree</v>
      </c>
      <c r="I7" s="24" t="str">
        <f t="shared" si="2"/>
        <v>disagree</v>
      </c>
      <c r="K7" s="25">
        <v>2.0</v>
      </c>
      <c r="L7" s="24">
        <f>SUMPRODUCT((E$6:E$20=2)*(F$6:F$20=1))</f>
        <v>0</v>
      </c>
      <c r="M7" s="24">
        <f>SUMPRODUCT((E$6:E$20=2)*(F$6:F$20=2))</f>
        <v>0</v>
      </c>
      <c r="N7" s="24">
        <f>SUMPRODUCT((E$6:E$20=2)*(F$6:F$20=3))</f>
        <v>0</v>
      </c>
      <c r="O7" s="24">
        <f>SUMPRODUCT((E$6:E$20=2)*(F$6:F$20=4))</f>
        <v>0</v>
      </c>
      <c r="P7" s="24">
        <f>SUMPRODUCT((E$6:E$20=2)*(F$6:F$20=5))</f>
        <v>0</v>
      </c>
      <c r="Q7" s="25">
        <f t="shared" si="3"/>
        <v>0</v>
      </c>
      <c r="S7" s="20">
        <v>1.0</v>
      </c>
      <c r="T7" s="24">
        <v>1.0</v>
      </c>
      <c r="U7" s="24">
        <v>0.9375</v>
      </c>
      <c r="V7" s="24">
        <v>0.75</v>
      </c>
      <c r="W7" s="24">
        <v>0.4375</v>
      </c>
      <c r="X7" s="24">
        <v>0.0</v>
      </c>
    </row>
    <row r="8" ht="15.0" customHeight="1">
      <c r="B8" s="22">
        <v>3.0</v>
      </c>
      <c r="C8" s="19" t="s">
        <v>66</v>
      </c>
      <c r="D8" s="22" t="s">
        <v>47</v>
      </c>
      <c r="E8" s="23">
        <v>5.0</v>
      </c>
      <c r="F8" s="23">
        <v>5.0</v>
      </c>
      <c r="G8" s="23">
        <v>4.0</v>
      </c>
      <c r="H8" s="24" t="str">
        <f t="shared" si="1"/>
        <v>agree</v>
      </c>
      <c r="I8" s="24" t="str">
        <f t="shared" si="2"/>
        <v>disagree</v>
      </c>
      <c r="K8" s="25">
        <v>3.0</v>
      </c>
      <c r="L8" s="24">
        <f>SUMPRODUCT((E$6:E$20=3)*(F$6:F$20=1))</f>
        <v>0</v>
      </c>
      <c r="M8" s="24">
        <f>SUMPRODUCT((E$6:E$20=3)*(F$6:F$20=2))</f>
        <v>0</v>
      </c>
      <c r="N8" s="24">
        <f>SUMPRODUCT((E$6:E$20=3)*(F$6:F$20=3))</f>
        <v>0</v>
      </c>
      <c r="O8" s="24">
        <f>SUMPRODUCT((E$6:E$20=3)*(F$6:F$20=4))</f>
        <v>0</v>
      </c>
      <c r="P8" s="24">
        <f>SUMPRODUCT((E$6:E$20=3)*(F$6:F$20=5))</f>
        <v>0</v>
      </c>
      <c r="Q8" s="25">
        <f t="shared" si="3"/>
        <v>0</v>
      </c>
      <c r="S8" s="20">
        <v>2.0</v>
      </c>
      <c r="T8" s="24">
        <v>0.9375</v>
      </c>
      <c r="U8" s="24">
        <v>1.0</v>
      </c>
      <c r="V8" s="24">
        <v>0.9375</v>
      </c>
      <c r="W8" s="24">
        <v>0.75</v>
      </c>
      <c r="X8" s="24">
        <v>0.4375</v>
      </c>
    </row>
    <row r="9" ht="15.0" customHeight="1">
      <c r="B9" s="22">
        <v>4.0</v>
      </c>
      <c r="C9" s="19" t="s">
        <v>71</v>
      </c>
      <c r="D9" s="22" t="s">
        <v>47</v>
      </c>
      <c r="E9" s="23">
        <v>5.0</v>
      </c>
      <c r="F9" s="23">
        <v>5.0</v>
      </c>
      <c r="G9" s="23">
        <v>5.0</v>
      </c>
      <c r="H9" s="24" t="str">
        <f t="shared" si="1"/>
        <v>agree</v>
      </c>
      <c r="I9" s="24" t="str">
        <f t="shared" si="2"/>
        <v>agree</v>
      </c>
      <c r="K9" s="25">
        <v>4.0</v>
      </c>
      <c r="L9" s="24">
        <f>SUMPRODUCT((E$6:E$20=4)*(F$6:F$20=1))</f>
        <v>0</v>
      </c>
      <c r="M9" s="24">
        <f>SUMPRODUCT((E$6:E$20=4)*(F$6:F$20=2))</f>
        <v>0</v>
      </c>
      <c r="N9" s="24">
        <f>SUMPRODUCT((E$6:E$20=4)*(F$6:F$20=3))</f>
        <v>0</v>
      </c>
      <c r="O9" s="24">
        <f>SUMPRODUCT((E$6:E$20=4)*(F$6:F$20=4))</f>
        <v>2</v>
      </c>
      <c r="P9" s="24">
        <f>SUMPRODUCT((E$6:E$20=4)*(F$6:F$20=5))</f>
        <v>0</v>
      </c>
      <c r="Q9" s="25">
        <f t="shared" si="3"/>
        <v>2</v>
      </c>
      <c r="S9" s="20">
        <v>3.0</v>
      </c>
      <c r="T9" s="24">
        <v>0.75</v>
      </c>
      <c r="U9" s="24">
        <v>0.9375</v>
      </c>
      <c r="V9" s="24">
        <v>1.0</v>
      </c>
      <c r="W9" s="24">
        <v>0.9375</v>
      </c>
      <c r="X9" s="24">
        <v>0.75</v>
      </c>
    </row>
    <row r="10" ht="15.0" customHeight="1">
      <c r="B10" s="22">
        <v>5.0</v>
      </c>
      <c r="C10" s="19" t="s">
        <v>77</v>
      </c>
      <c r="D10" s="22" t="s">
        <v>47</v>
      </c>
      <c r="E10" s="23">
        <v>5.0</v>
      </c>
      <c r="F10" s="23">
        <v>4.0</v>
      </c>
      <c r="G10" s="23">
        <v>5.0</v>
      </c>
      <c r="H10" s="24" t="str">
        <f t="shared" si="1"/>
        <v>disagree</v>
      </c>
      <c r="I10" s="24" t="str">
        <f t="shared" si="2"/>
        <v>agree</v>
      </c>
      <c r="K10" s="25">
        <v>5.0</v>
      </c>
      <c r="L10" s="24">
        <f>SUMPRODUCT((E$6:E$20=5)*(F$6:F$20=1))</f>
        <v>0</v>
      </c>
      <c r="M10" s="24">
        <f>SUMPRODUCT((E$6:E$20=5)*(F$6:F$20=2))</f>
        <v>0</v>
      </c>
      <c r="N10" s="24">
        <f>SUMPRODUCT((E$6:E$20=5)*(F$6:F$20=3))</f>
        <v>1</v>
      </c>
      <c r="O10" s="24">
        <f>SUMPRODUCT((E$6:E$20=5)*(F$6:F$20=4))</f>
        <v>2</v>
      </c>
      <c r="P10" s="24">
        <f>SUMPRODUCT((E$6:E$20=5)*(F$6:F$20=5))</f>
        <v>10</v>
      </c>
      <c r="Q10" s="25">
        <f t="shared" si="3"/>
        <v>13</v>
      </c>
      <c r="S10" s="20">
        <v>4.0</v>
      </c>
      <c r="T10" s="24">
        <v>0.4375</v>
      </c>
      <c r="U10" s="24">
        <v>0.75</v>
      </c>
      <c r="V10" s="24">
        <v>0.9375</v>
      </c>
      <c r="W10" s="24">
        <v>1.0</v>
      </c>
      <c r="X10" s="24">
        <v>0.9375</v>
      </c>
    </row>
    <row r="11" ht="15.0" customHeight="1">
      <c r="B11" s="22">
        <v>6.0</v>
      </c>
      <c r="C11" s="19" t="s">
        <v>51</v>
      </c>
      <c r="D11" s="22" t="s">
        <v>85</v>
      </c>
      <c r="E11" s="23">
        <v>5.0</v>
      </c>
      <c r="F11" s="23">
        <v>5.0</v>
      </c>
      <c r="G11" s="23">
        <v>5.0</v>
      </c>
      <c r="H11" s="24" t="str">
        <f t="shared" si="1"/>
        <v>agree</v>
      </c>
      <c r="I11" s="24" t="str">
        <f t="shared" si="2"/>
        <v>agree</v>
      </c>
      <c r="K11" s="26" t="s">
        <v>57</v>
      </c>
      <c r="L11" s="27">
        <f t="shared" ref="L11:Q11" si="4">SUM(L6:L10)</f>
        <v>0</v>
      </c>
      <c r="M11" s="27">
        <f t="shared" si="4"/>
        <v>0</v>
      </c>
      <c r="N11" s="27">
        <f t="shared" si="4"/>
        <v>1</v>
      </c>
      <c r="O11" s="27">
        <f t="shared" si="4"/>
        <v>4</v>
      </c>
      <c r="P11" s="27">
        <f t="shared" si="4"/>
        <v>10</v>
      </c>
      <c r="Q11" s="27">
        <f t="shared" si="4"/>
        <v>15</v>
      </c>
      <c r="S11" s="20">
        <v>5.0</v>
      </c>
      <c r="T11" s="24">
        <v>0.0</v>
      </c>
      <c r="U11" s="24">
        <v>0.4375</v>
      </c>
      <c r="V11" s="24">
        <v>0.75</v>
      </c>
      <c r="W11" s="24">
        <v>0.9375</v>
      </c>
      <c r="X11" s="24">
        <v>1.0</v>
      </c>
    </row>
    <row r="12" ht="15.0" customHeight="1">
      <c r="B12" s="22">
        <v>7.0</v>
      </c>
      <c r="C12" s="19" t="s">
        <v>60</v>
      </c>
      <c r="D12" s="22" t="s">
        <v>85</v>
      </c>
      <c r="E12" s="23">
        <v>4.0</v>
      </c>
      <c r="F12" s="23">
        <v>4.0</v>
      </c>
      <c r="G12" s="23">
        <v>4.0</v>
      </c>
      <c r="H12" s="24" t="str">
        <f t="shared" si="1"/>
        <v>agree</v>
      </c>
      <c r="I12" s="24" t="str">
        <f t="shared" si="2"/>
        <v>agree</v>
      </c>
      <c r="K12" s="1"/>
      <c r="L12" s="1"/>
      <c r="M12" s="1"/>
      <c r="N12" s="1"/>
      <c r="O12" s="1"/>
      <c r="P12" s="1"/>
      <c r="Q12" s="1"/>
      <c r="S12" s="1"/>
      <c r="T12" s="1"/>
      <c r="U12" s="1"/>
      <c r="V12" s="1"/>
      <c r="W12" s="1"/>
      <c r="X12" s="1"/>
    </row>
    <row r="13" ht="15.0" customHeight="1">
      <c r="B13" s="22">
        <v>8.0</v>
      </c>
      <c r="C13" s="19" t="s">
        <v>66</v>
      </c>
      <c r="D13" s="22" t="s">
        <v>85</v>
      </c>
      <c r="E13" s="23">
        <v>5.0</v>
      </c>
      <c r="F13" s="23">
        <v>4.0</v>
      </c>
      <c r="G13" s="23">
        <v>4.0</v>
      </c>
      <c r="H13" s="24" t="str">
        <f t="shared" si="1"/>
        <v>disagree</v>
      </c>
      <c r="I13" s="24" t="str">
        <f t="shared" si="2"/>
        <v>disagree</v>
      </c>
      <c r="K13" s="12" t="s">
        <v>106</v>
      </c>
      <c r="L13" s="1"/>
      <c r="M13" s="1"/>
      <c r="N13" s="1"/>
      <c r="O13" s="1"/>
      <c r="P13" s="1"/>
      <c r="Q13" s="1"/>
      <c r="S13" s="1"/>
      <c r="T13" s="1"/>
      <c r="U13" s="1"/>
      <c r="V13" s="1"/>
      <c r="W13" s="1"/>
      <c r="X13" s="1"/>
    </row>
    <row r="14" ht="15.0" customHeight="1">
      <c r="B14" s="22">
        <v>9.0</v>
      </c>
      <c r="C14" s="19" t="s">
        <v>71</v>
      </c>
      <c r="D14" s="22" t="s">
        <v>85</v>
      </c>
      <c r="E14" s="23">
        <v>5.0</v>
      </c>
      <c r="F14" s="23">
        <v>3.0</v>
      </c>
      <c r="G14" s="23">
        <v>5.0</v>
      </c>
      <c r="H14" s="24" t="str">
        <f t="shared" si="1"/>
        <v>disagree</v>
      </c>
      <c r="I14" s="24" t="str">
        <f t="shared" si="2"/>
        <v>disagree</v>
      </c>
      <c r="K14" s="20" t="s">
        <v>108</v>
      </c>
      <c r="L14" s="10">
        <v>1.0</v>
      </c>
      <c r="M14" s="10">
        <v>2.0</v>
      </c>
      <c r="N14" s="10">
        <v>3.0</v>
      </c>
      <c r="O14" s="10">
        <v>4.0</v>
      </c>
      <c r="P14" s="10">
        <v>5.0</v>
      </c>
      <c r="Q14" s="20" t="s">
        <v>57</v>
      </c>
      <c r="S14" s="1"/>
      <c r="T14" s="1"/>
      <c r="U14" s="1"/>
      <c r="V14" s="1"/>
      <c r="W14" s="1"/>
      <c r="X14" s="1"/>
    </row>
    <row r="15" ht="15.0" customHeight="1">
      <c r="B15" s="22">
        <v>10.0</v>
      </c>
      <c r="C15" s="19" t="s">
        <v>77</v>
      </c>
      <c r="D15" s="22" t="s">
        <v>85</v>
      </c>
      <c r="E15" s="23">
        <v>5.0</v>
      </c>
      <c r="F15" s="23">
        <v>5.0</v>
      </c>
      <c r="G15" s="23">
        <v>4.0</v>
      </c>
      <c r="H15" s="24" t="str">
        <f t="shared" si="1"/>
        <v>agree</v>
      </c>
      <c r="I15" s="24" t="str">
        <f t="shared" si="2"/>
        <v>disagree</v>
      </c>
      <c r="K15" s="25">
        <v>1.0</v>
      </c>
      <c r="L15" s="24">
        <f>SUMPRODUCT((ROUND((E$6:E$20+F$6:F$20)/2,0)=1)*(G$6:G$20=1))</f>
        <v>0</v>
      </c>
      <c r="M15" s="24">
        <f>SUMPRODUCT((ROUND((E$6:E$20+F$6:F$20)/2,0)=1)*(G$6:G$20=2))</f>
        <v>0</v>
      </c>
      <c r="N15" s="24">
        <f>SUMPRODUCT((ROUND((E$6:E$20+F$6:F$20)/2,0)=1)*(G$6:G$20=3))</f>
        <v>0</v>
      </c>
      <c r="O15" s="24">
        <f>SUMPRODUCT((ROUND((E$6:E$20+F$6:F$20)/2,0)=1)*(G$6:G$20=4))</f>
        <v>0</v>
      </c>
      <c r="P15" s="24">
        <f>SUMPRODUCT((ROUND((E$6:E$20+F$6:F$20)/2,0)=1)*(G$6:G$20=5))</f>
        <v>0</v>
      </c>
      <c r="Q15" s="25">
        <f t="shared" ref="Q15:Q19" si="5">SUM(L15:P15)</f>
        <v>0</v>
      </c>
      <c r="S15" s="1"/>
      <c r="T15" s="1"/>
      <c r="U15" s="1"/>
      <c r="V15" s="1"/>
      <c r="W15" s="1"/>
      <c r="X15" s="1"/>
    </row>
    <row r="16" ht="23.25" customHeight="1">
      <c r="B16" s="22">
        <v>11.0</v>
      </c>
      <c r="C16" s="19" t="s">
        <v>51</v>
      </c>
      <c r="D16" s="22" t="s">
        <v>99</v>
      </c>
      <c r="E16" s="23">
        <v>5.0</v>
      </c>
      <c r="F16" s="23">
        <v>5.0</v>
      </c>
      <c r="G16" s="23">
        <v>5.0</v>
      </c>
      <c r="H16" s="24" t="str">
        <f t="shared" si="1"/>
        <v>agree</v>
      </c>
      <c r="I16" s="24" t="str">
        <f t="shared" si="2"/>
        <v>agree</v>
      </c>
      <c r="K16" s="25">
        <v>2.0</v>
      </c>
      <c r="L16" s="24">
        <f>SUMPRODUCT((ROUND((E$6:E$20+F$6:F$20)/2,0)=2)*(G$6:G$20=1))</f>
        <v>0</v>
      </c>
      <c r="M16" s="24">
        <f>SUMPRODUCT((ROUND((E$6:E$20+F$6:F$20)/2,0)=2)*(G$6:G$20=2))</f>
        <v>0</v>
      </c>
      <c r="N16" s="24">
        <f>SUMPRODUCT((ROUND((E$6:E$20+F$6:F$20)/2,0)=2)*(G$6:G$20=3))</f>
        <v>0</v>
      </c>
      <c r="O16" s="24">
        <f>SUMPRODUCT((ROUND((E$6:E$20+F$6:F$20)/2,0)=2)*(G$6:G$20=4))</f>
        <v>0</v>
      </c>
      <c r="P16" s="24">
        <f>SUMPRODUCT((ROUND((E$6:E$20+F$6:F$20)/2,0)=2)*(G$6:G$20=5))</f>
        <v>0</v>
      </c>
      <c r="Q16" s="25">
        <f t="shared" si="5"/>
        <v>0</v>
      </c>
      <c r="S16" s="1"/>
      <c r="T16" s="1"/>
      <c r="U16" s="1"/>
      <c r="V16" s="1"/>
      <c r="W16" s="1"/>
      <c r="X16" s="1"/>
    </row>
    <row r="17" ht="23.25" customHeight="1">
      <c r="B17" s="22">
        <v>12.0</v>
      </c>
      <c r="C17" s="19" t="s">
        <v>60</v>
      </c>
      <c r="D17" s="22" t="s">
        <v>99</v>
      </c>
      <c r="E17" s="23">
        <v>5.0</v>
      </c>
      <c r="F17" s="23">
        <v>5.0</v>
      </c>
      <c r="G17" s="23">
        <v>5.0</v>
      </c>
      <c r="H17" s="24" t="str">
        <f t="shared" si="1"/>
        <v>agree</v>
      </c>
      <c r="I17" s="24" t="str">
        <f t="shared" si="2"/>
        <v>agree</v>
      </c>
      <c r="K17" s="25">
        <v>3.0</v>
      </c>
      <c r="L17" s="24">
        <f>SUMPRODUCT((ROUND((E$6:E$20+F$6:F$20)/2,0)=3)*(G$6:G$20=1))</f>
        <v>0</v>
      </c>
      <c r="M17" s="24">
        <f>SUMPRODUCT((ROUND((E$6:E$20+F$6:F$20)/2,0)=3)*(G$6:G$20=2))</f>
        <v>0</v>
      </c>
      <c r="N17" s="24">
        <f>SUMPRODUCT((ROUND((E$6:E$20+F$6:F$20)/2,0)=3)*(G$6:G$20=3))</f>
        <v>0</v>
      </c>
      <c r="O17" s="24">
        <f>SUMPRODUCT((ROUND((E$6:E$20+F$6:F$20)/2,0)=3)*(G$6:G$20=4))</f>
        <v>0</v>
      </c>
      <c r="P17" s="24">
        <f>SUMPRODUCT((ROUND((E$6:E$20+F$6:F$20)/2,0)=3)*(G$6:G$20=5))</f>
        <v>0</v>
      </c>
      <c r="Q17" s="25">
        <f t="shared" si="5"/>
        <v>0</v>
      </c>
      <c r="S17" s="1"/>
      <c r="T17" s="1"/>
      <c r="U17" s="1"/>
      <c r="V17" s="1"/>
      <c r="W17" s="1"/>
      <c r="X17" s="1"/>
    </row>
    <row r="18" ht="23.25" customHeight="1">
      <c r="B18" s="22">
        <v>13.0</v>
      </c>
      <c r="C18" s="19" t="s">
        <v>66</v>
      </c>
      <c r="D18" s="22" t="s">
        <v>99</v>
      </c>
      <c r="E18" s="23">
        <v>5.0</v>
      </c>
      <c r="F18" s="23">
        <v>5.0</v>
      </c>
      <c r="G18" s="23">
        <v>5.0</v>
      </c>
      <c r="H18" s="24" t="str">
        <f t="shared" si="1"/>
        <v>agree</v>
      </c>
      <c r="I18" s="24" t="str">
        <f t="shared" si="2"/>
        <v>agree</v>
      </c>
      <c r="K18" s="25">
        <v>4.0</v>
      </c>
      <c r="L18" s="24">
        <f>SUMPRODUCT((ROUND((E$6:E$20+F$6:F$20)/2,0)=4)*(G$6:G$20=1))</f>
        <v>0</v>
      </c>
      <c r="M18" s="24">
        <f>SUMPRODUCT((ROUND((E$6:E$20+F$6:F$20)/2,0)=4)*(G$6:G$20=2))</f>
        <v>0</v>
      </c>
      <c r="N18" s="24">
        <f>SUMPRODUCT((ROUND((E$6:E$20+F$6:F$20)/2,0)=4)*(G$6:G$20=3))</f>
        <v>0</v>
      </c>
      <c r="O18" s="24">
        <f>SUMPRODUCT((ROUND((E$6:E$20+F$6:F$20)/2,0)=4)*(G$6:G$20=4))</f>
        <v>1</v>
      </c>
      <c r="P18" s="24">
        <f>SUMPRODUCT((ROUND((E$6:E$20+F$6:F$20)/2,0)=4)*(G$6:G$20=5))</f>
        <v>2</v>
      </c>
      <c r="Q18" s="25">
        <f t="shared" si="5"/>
        <v>3</v>
      </c>
      <c r="S18" s="1"/>
      <c r="T18" s="1"/>
      <c r="U18" s="1"/>
      <c r="V18" s="1"/>
      <c r="W18" s="1"/>
      <c r="X18" s="1"/>
    </row>
    <row r="19" ht="23.25" customHeight="1">
      <c r="B19" s="22">
        <v>14.0</v>
      </c>
      <c r="C19" s="19" t="s">
        <v>71</v>
      </c>
      <c r="D19" s="22" t="s">
        <v>99</v>
      </c>
      <c r="E19" s="23">
        <v>5.0</v>
      </c>
      <c r="F19" s="23">
        <v>5.0</v>
      </c>
      <c r="G19" s="23">
        <v>5.0</v>
      </c>
      <c r="H19" s="24" t="str">
        <f t="shared" si="1"/>
        <v>agree</v>
      </c>
      <c r="I19" s="24" t="str">
        <f t="shared" si="2"/>
        <v>agree</v>
      </c>
      <c r="K19" s="25">
        <v>5.0</v>
      </c>
      <c r="L19" s="24">
        <f>SUMPRODUCT((ROUND((E$6:E$20+F$6:F$20)/2,0)=5)*(G$6:G$20=1))</f>
        <v>0</v>
      </c>
      <c r="M19" s="24">
        <f>SUMPRODUCT((ROUND((E$6:E$20+F$6:F$20)/2,0)=5)*(G$6:G$20=2))</f>
        <v>0</v>
      </c>
      <c r="N19" s="24">
        <f>SUMPRODUCT((ROUND((E$6:E$20+F$6:F$20)/2,0)=5)*(G$6:G$20=3))</f>
        <v>0</v>
      </c>
      <c r="O19" s="24">
        <f>SUMPRODUCT((ROUND((E$6:E$20+F$6:F$20)/2,0)=5)*(G$6:G$20=4))</f>
        <v>4</v>
      </c>
      <c r="P19" s="24">
        <f>SUMPRODUCT((ROUND((E$6:E$20+F$6:F$20)/2,0)=5)*(G$6:G$20=5))</f>
        <v>8</v>
      </c>
      <c r="Q19" s="25">
        <f t="shared" si="5"/>
        <v>12</v>
      </c>
      <c r="S19" s="1"/>
      <c r="T19" s="1"/>
      <c r="U19" s="1"/>
      <c r="V19" s="1"/>
      <c r="W19" s="1"/>
      <c r="X19" s="1"/>
    </row>
    <row r="20" ht="23.25" customHeight="1">
      <c r="B20" s="22">
        <v>15.0</v>
      </c>
      <c r="C20" s="19" t="s">
        <v>77</v>
      </c>
      <c r="D20" s="22" t="s">
        <v>99</v>
      </c>
      <c r="E20" s="23">
        <v>5.0</v>
      </c>
      <c r="F20" s="23">
        <v>5.0</v>
      </c>
      <c r="G20" s="23">
        <v>5.0</v>
      </c>
      <c r="H20" s="24" t="str">
        <f t="shared" si="1"/>
        <v>agree</v>
      </c>
      <c r="I20" s="24" t="str">
        <f t="shared" si="2"/>
        <v>agree</v>
      </c>
      <c r="K20" s="26" t="s">
        <v>57</v>
      </c>
      <c r="L20" s="27">
        <f t="shared" ref="L20:Q20" si="6">SUM(L15:L19)</f>
        <v>0</v>
      </c>
      <c r="M20" s="27">
        <f t="shared" si="6"/>
        <v>0</v>
      </c>
      <c r="N20" s="27">
        <f t="shared" si="6"/>
        <v>0</v>
      </c>
      <c r="O20" s="27">
        <f t="shared" si="6"/>
        <v>5</v>
      </c>
      <c r="P20" s="27">
        <f t="shared" si="6"/>
        <v>10</v>
      </c>
      <c r="Q20" s="27">
        <f t="shared" si="6"/>
        <v>15</v>
      </c>
      <c r="S20" s="1"/>
      <c r="T20" s="1"/>
      <c r="U20" s="1"/>
      <c r="V20" s="1"/>
      <c r="W20" s="1"/>
      <c r="X20" s="1"/>
    </row>
    <row r="21" ht="15.0" customHeight="1">
      <c r="B21" s="28" t="s">
        <v>117</v>
      </c>
      <c r="C21" s="1"/>
      <c r="D21" s="1"/>
      <c r="E21" s="1"/>
      <c r="F21" s="1"/>
      <c r="G21" s="1"/>
      <c r="H21" s="28">
        <f>COUNTIF(H6:H20,"agree")/15</f>
        <v>0.8</v>
      </c>
      <c r="I21" s="1"/>
      <c r="K21" s="1"/>
      <c r="L21" s="1"/>
      <c r="M21" s="1"/>
      <c r="N21" s="1"/>
      <c r="O21" s="1"/>
      <c r="P21" s="1"/>
      <c r="Q21" s="1"/>
      <c r="S21" s="1"/>
      <c r="T21" s="1"/>
      <c r="U21" s="1"/>
      <c r="V21" s="1"/>
      <c r="W21" s="1"/>
      <c r="X21" s="1"/>
    </row>
    <row r="22" ht="15.0" customHeight="1">
      <c r="B22" s="28" t="s">
        <v>118</v>
      </c>
      <c r="C22" s="1"/>
      <c r="D22" s="1"/>
      <c r="E22" s="1"/>
      <c r="F22" s="1"/>
      <c r="G22" s="1"/>
      <c r="H22" s="28">
        <f>COUNTIF(I6:I20,"agree")/15</f>
        <v>0.6</v>
      </c>
      <c r="I22" s="1"/>
      <c r="K22" s="12" t="s">
        <v>142</v>
      </c>
      <c r="L22" s="1"/>
      <c r="M22" s="1"/>
      <c r="N22" s="1"/>
      <c r="O22" s="1"/>
      <c r="P22" s="1"/>
      <c r="Q22" s="1"/>
      <c r="S22" s="1"/>
      <c r="T22" s="1"/>
      <c r="U22" s="1"/>
      <c r="V22" s="1"/>
      <c r="W22" s="1"/>
      <c r="X22" s="1"/>
    </row>
    <row r="23" ht="15.0" customHeight="1">
      <c r="B23" s="1"/>
      <c r="C23" s="1"/>
      <c r="D23" s="1"/>
      <c r="E23" s="1"/>
      <c r="F23" s="1"/>
      <c r="G23" s="1"/>
      <c r="H23" s="1"/>
      <c r="I23" s="1"/>
      <c r="K23" s="28" t="s">
        <v>120</v>
      </c>
      <c r="L23" s="1"/>
      <c r="M23" s="1"/>
      <c r="N23" s="1"/>
      <c r="O23" s="1"/>
      <c r="P23" s="1"/>
      <c r="Q23" s="1"/>
      <c r="S23" s="1"/>
      <c r="T23" s="1"/>
      <c r="U23" s="1"/>
      <c r="V23" s="30">
        <f>SUMPRODUCT($L$6:$P$10,$T$7:$X$11)/$Q$11</f>
        <v>0.975</v>
      </c>
      <c r="W23" s="1"/>
      <c r="X23" s="1"/>
    </row>
    <row r="24" ht="15.0" customHeight="1">
      <c r="B24" s="1"/>
      <c r="C24" s="1"/>
      <c r="D24" s="1"/>
      <c r="E24" s="1"/>
      <c r="F24" s="1"/>
      <c r="G24" s="1"/>
      <c r="H24" s="1"/>
      <c r="I24" s="1"/>
      <c r="K24" s="28" t="s">
        <v>121</v>
      </c>
      <c r="L24" s="1"/>
      <c r="M24" s="1"/>
      <c r="N24" s="1"/>
      <c r="O24" s="1"/>
      <c r="P24" s="1"/>
      <c r="Q24" s="1"/>
      <c r="S24" s="1"/>
      <c r="T24" s="1"/>
      <c r="U24" s="1"/>
      <c r="V24" s="30">
        <f t="array" ref="V24">SUMPRODUCT($Q$6:$Q$10,MMULT($T$7:$X$11,TRANSPOSE($L$11:$P$11)))/($Q$11^2)</f>
        <v>0.965</v>
      </c>
      <c r="W24" s="1"/>
      <c r="X24" s="1"/>
    </row>
    <row r="25" ht="15.0" customHeight="1">
      <c r="B25" s="1"/>
      <c r="C25" s="1"/>
      <c r="D25" s="1"/>
      <c r="E25" s="1"/>
      <c r="F25" s="1"/>
      <c r="G25" s="1"/>
      <c r="H25" s="1"/>
      <c r="I25" s="1"/>
      <c r="K25" s="28" t="s">
        <v>122</v>
      </c>
      <c r="L25" s="1"/>
      <c r="M25" s="1"/>
      <c r="N25" s="1"/>
      <c r="O25" s="1"/>
      <c r="P25" s="1"/>
      <c r="Q25" s="1"/>
      <c r="S25" s="1"/>
      <c r="T25" s="1"/>
      <c r="U25" s="1"/>
      <c r="V25" s="30">
        <f>(V23-V24)/(1-V24)</f>
        <v>0.2857142857</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8" t="s">
        <v>123</v>
      </c>
      <c r="L27" s="1"/>
      <c r="M27" s="1"/>
      <c r="N27" s="1"/>
      <c r="O27" s="1"/>
      <c r="P27" s="1"/>
      <c r="Q27" s="1"/>
      <c r="S27" s="1"/>
      <c r="T27" s="1"/>
      <c r="U27" s="1"/>
      <c r="V27" s="30">
        <f>SUMPRODUCT($L$15:$P$19,$T$7:$X$11)/$Q$20</f>
        <v>0.975</v>
      </c>
      <c r="W27" s="1"/>
      <c r="X27" s="1"/>
    </row>
    <row r="28" ht="15.0" customHeight="1">
      <c r="B28" s="1"/>
      <c r="C28" s="1"/>
      <c r="D28" s="1"/>
      <c r="E28" s="1"/>
      <c r="F28" s="1"/>
      <c r="G28" s="1"/>
      <c r="H28" s="1"/>
      <c r="I28" s="1"/>
      <c r="K28" s="28" t="s">
        <v>124</v>
      </c>
      <c r="L28" s="1"/>
      <c r="M28" s="1"/>
      <c r="N28" s="1"/>
      <c r="O28" s="1"/>
      <c r="P28" s="1"/>
      <c r="Q28" s="1"/>
      <c r="S28" s="1"/>
      <c r="T28" s="1"/>
      <c r="U28" s="1"/>
      <c r="V28" s="30">
        <f t="array" ref="V28">SUMPRODUCT($Q$15:$Q$19,MMULT($T$7:$X$11,TRANSPOSE($L$20:$P$20)))/($Q$20^2)</f>
        <v>0.975</v>
      </c>
      <c r="W28" s="1"/>
      <c r="X28" s="1"/>
    </row>
    <row r="29" ht="15.0" customHeight="1">
      <c r="B29" s="1"/>
      <c r="C29" s="1"/>
      <c r="D29" s="1"/>
      <c r="E29" s="1"/>
      <c r="F29" s="1"/>
      <c r="G29" s="1"/>
      <c r="H29" s="1"/>
      <c r="I29" s="1"/>
      <c r="K29" s="28" t="s">
        <v>125</v>
      </c>
      <c r="L29" s="1"/>
      <c r="M29" s="1"/>
      <c r="N29" s="1"/>
      <c r="O29" s="1"/>
      <c r="P29" s="1"/>
      <c r="Q29" s="1"/>
      <c r="S29" s="1"/>
      <c r="T29" s="1"/>
      <c r="U29" s="1"/>
      <c r="V29" s="30">
        <f>(V27-V28)/(1-V28)</f>
        <v>0</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0" customHeight="1">
      <c r="B31" s="1"/>
      <c r="C31" s="1"/>
      <c r="D31" s="1"/>
      <c r="E31" s="1"/>
      <c r="F31" s="1"/>
      <c r="G31" s="1"/>
      <c r="H31" s="1"/>
      <c r="I31" s="1"/>
      <c r="K31" s="31"/>
      <c r="U31" s="1"/>
      <c r="V31" s="1"/>
      <c r="W31" s="1"/>
      <c r="X31" s="1"/>
    </row>
    <row r="32" ht="15.75" customHeight="1">
      <c r="B32" s="1"/>
      <c r="C32" s="1"/>
      <c r="D32" s="1"/>
      <c r="E32" s="1"/>
      <c r="F32" s="1"/>
      <c r="G32" s="1"/>
      <c r="H32" s="1"/>
      <c r="I32" s="1"/>
      <c r="K32" s="1"/>
      <c r="L32" s="1"/>
      <c r="M32" s="1"/>
      <c r="N32" s="1"/>
      <c r="O32" s="1"/>
      <c r="P32" s="1"/>
      <c r="Q32" s="1"/>
      <c r="S32" s="1"/>
      <c r="T32" s="1"/>
      <c r="U32" s="1"/>
      <c r="V32" s="1"/>
      <c r="W32" s="1"/>
      <c r="X32" s="1"/>
    </row>
    <row r="33" ht="15.0" customHeight="1">
      <c r="B33" s="1"/>
      <c r="C33" s="1"/>
      <c r="D33" s="1"/>
      <c r="E33" s="1"/>
      <c r="F33" s="1"/>
      <c r="G33" s="1"/>
      <c r="H33" s="1"/>
      <c r="I33" s="1"/>
      <c r="K33" s="12" t="s">
        <v>126</v>
      </c>
      <c r="L33" s="1"/>
      <c r="M33" s="1"/>
      <c r="N33" s="1"/>
      <c r="O33" s="1"/>
      <c r="P33" s="1"/>
      <c r="Q33" s="1"/>
      <c r="S33" s="1"/>
      <c r="T33" s="1"/>
      <c r="U33" s="1"/>
      <c r="V33" s="1"/>
      <c r="W33" s="1"/>
      <c r="X33" s="1"/>
    </row>
    <row r="34" ht="15.0" customHeight="1">
      <c r="B34" s="1"/>
      <c r="C34" s="1"/>
      <c r="D34" s="1"/>
      <c r="E34" s="1"/>
      <c r="F34" s="1"/>
      <c r="G34" s="1"/>
      <c r="H34" s="1"/>
      <c r="I34" s="1"/>
      <c r="K34" s="28" t="s">
        <v>127</v>
      </c>
      <c r="L34" s="1"/>
      <c r="M34" s="1"/>
      <c r="N34" s="1"/>
      <c r="O34" s="28" t="s">
        <v>128</v>
      </c>
      <c r="P34" s="1"/>
      <c r="Q34" s="1"/>
      <c r="S34" s="1"/>
      <c r="T34" s="28" t="s">
        <v>129</v>
      </c>
      <c r="U34" s="1"/>
      <c r="V34" s="1"/>
      <c r="W34" s="1"/>
      <c r="X34" s="1"/>
    </row>
    <row r="35" ht="15.0" customHeight="1">
      <c r="B35" s="1"/>
      <c r="C35" s="1"/>
      <c r="D35" s="1"/>
      <c r="E35" s="1"/>
      <c r="F35" s="1"/>
      <c r="G35" s="1"/>
      <c r="H35" s="1"/>
      <c r="I35" s="1"/>
      <c r="K35" s="28" t="s">
        <v>130</v>
      </c>
      <c r="L35" s="1"/>
      <c r="M35" s="1"/>
      <c r="N35" s="1"/>
      <c r="O35" s="28" t="s">
        <v>131</v>
      </c>
      <c r="P35" s="1"/>
      <c r="Q35" s="1"/>
      <c r="S35" s="1"/>
      <c r="T35" s="28" t="s">
        <v>132</v>
      </c>
      <c r="U35" s="1"/>
      <c r="V35" s="1"/>
      <c r="W35" s="1"/>
      <c r="X35" s="1"/>
    </row>
    <row r="36" ht="15.0" customHeight="1">
      <c r="B36" s="1"/>
      <c r="C36" s="1"/>
      <c r="D36" s="1"/>
      <c r="E36" s="1"/>
      <c r="F36" s="1"/>
      <c r="G36" s="1"/>
      <c r="H36" s="1"/>
      <c r="I36" s="1"/>
      <c r="K36" s="28" t="s">
        <v>133</v>
      </c>
      <c r="L36" s="1"/>
      <c r="M36" s="1"/>
      <c r="N36" s="1"/>
      <c r="O36" s="28" t="s">
        <v>134</v>
      </c>
      <c r="P36" s="1"/>
      <c r="Q36" s="1"/>
      <c r="S36" s="1"/>
      <c r="T36" s="28" t="s">
        <v>135</v>
      </c>
      <c r="U36" s="1"/>
      <c r="V36" s="1"/>
      <c r="W36" s="1"/>
      <c r="X36" s="1"/>
    </row>
    <row r="37" ht="15.0" customHeight="1">
      <c r="B37" s="1"/>
      <c r="C37" s="1"/>
      <c r="D37" s="1"/>
      <c r="E37" s="1"/>
      <c r="F37" s="1"/>
      <c r="G37" s="1"/>
      <c r="H37" s="1"/>
      <c r="I37" s="1"/>
      <c r="K37" s="28" t="s">
        <v>136</v>
      </c>
      <c r="L37" s="1"/>
      <c r="M37" s="1"/>
      <c r="N37" s="1"/>
      <c r="O37" s="28" t="s">
        <v>137</v>
      </c>
      <c r="P37" s="1"/>
      <c r="Q37" s="1"/>
      <c r="S37" s="1"/>
      <c r="T37" s="28" t="s">
        <v>138</v>
      </c>
      <c r="U37" s="1"/>
      <c r="V37" s="1"/>
      <c r="W37" s="1"/>
      <c r="X37" s="1"/>
    </row>
    <row r="38" ht="15.0" customHeight="1">
      <c r="B38" s="1"/>
      <c r="C38" s="1"/>
      <c r="D38" s="1"/>
      <c r="E38" s="1"/>
      <c r="F38" s="1"/>
      <c r="G38" s="1"/>
      <c r="H38" s="1"/>
      <c r="I38" s="1"/>
      <c r="K38" s="28" t="s">
        <v>139</v>
      </c>
      <c r="L38" s="1"/>
      <c r="M38" s="1"/>
      <c r="N38" s="1"/>
      <c r="O38" s="28" t="s">
        <v>140</v>
      </c>
      <c r="P38" s="1"/>
      <c r="Q38" s="1"/>
      <c r="S38" s="1"/>
      <c r="T38" s="28" t="s">
        <v>141</v>
      </c>
      <c r="U38" s="1"/>
      <c r="V38" s="1"/>
      <c r="W38" s="1"/>
      <c r="X38" s="1"/>
    </row>
    <row r="39" ht="15.75" customHeight="1">
      <c r="B39" s="1"/>
      <c r="C39" s="1"/>
      <c r="D39" s="1"/>
      <c r="E39" s="1"/>
      <c r="F39" s="1"/>
      <c r="G39" s="1"/>
      <c r="H39" s="1"/>
      <c r="I39" s="1"/>
      <c r="K39" s="1"/>
      <c r="L39" s="1"/>
      <c r="M39" s="1"/>
      <c r="N39" s="1"/>
      <c r="O39" s="1"/>
      <c r="P39" s="1"/>
      <c r="Q39" s="1"/>
      <c r="S39" s="1"/>
      <c r="T39" s="1"/>
      <c r="U39" s="1"/>
      <c r="V39" s="1"/>
      <c r="W39" s="1"/>
      <c r="X39" s="1"/>
    </row>
    <row r="40" ht="15.75" customHeight="1">
      <c r="B40" s="1"/>
      <c r="C40" s="1"/>
      <c r="D40" s="1"/>
      <c r="E40" s="1"/>
      <c r="F40" s="1"/>
      <c r="G40" s="1"/>
      <c r="H40" s="1"/>
      <c r="I40" s="1"/>
      <c r="K40" s="1"/>
      <c r="L40" s="1"/>
      <c r="M40" s="1"/>
      <c r="N40" s="1"/>
      <c r="O40" s="1"/>
      <c r="P40" s="1"/>
      <c r="Q40" s="1"/>
      <c r="S40" s="1"/>
      <c r="T40" s="1"/>
      <c r="U40" s="1"/>
      <c r="V40" s="1"/>
      <c r="W40" s="1"/>
      <c r="X40" s="1"/>
    </row>
    <row r="41" ht="15.75" customHeight="1">
      <c r="B41" s="1"/>
      <c r="C41" s="1"/>
      <c r="D41" s="1"/>
      <c r="E41" s="1"/>
      <c r="F41" s="1"/>
      <c r="G41" s="1"/>
      <c r="H41" s="1"/>
      <c r="I41" s="1"/>
      <c r="K41" s="1"/>
      <c r="L41" s="1"/>
      <c r="M41" s="1"/>
      <c r="N41" s="1"/>
      <c r="O41" s="1"/>
      <c r="P41" s="1"/>
      <c r="Q41" s="1"/>
      <c r="S41" s="1"/>
      <c r="T41" s="1"/>
      <c r="U41" s="1"/>
      <c r="V41" s="1"/>
      <c r="W41" s="1"/>
      <c r="X41" s="1"/>
    </row>
    <row r="42" ht="15.75" customHeight="1">
      <c r="B42" s="1"/>
      <c r="C42" s="1"/>
      <c r="D42" s="1"/>
      <c r="E42" s="1"/>
      <c r="F42" s="1"/>
      <c r="G42" s="1"/>
      <c r="H42" s="1"/>
      <c r="I42" s="1"/>
      <c r="K42" s="1"/>
      <c r="L42" s="1"/>
      <c r="M42" s="1"/>
      <c r="N42" s="1"/>
      <c r="O42" s="1"/>
      <c r="P42" s="1"/>
      <c r="Q42" s="1"/>
      <c r="S42" s="1"/>
      <c r="T42" s="1"/>
      <c r="U42" s="1"/>
      <c r="V42" s="1"/>
      <c r="W42" s="1"/>
      <c r="X42" s="1"/>
    </row>
    <row r="43" ht="15.75" customHeight="1">
      <c r="B43" s="1"/>
      <c r="C43" s="1"/>
      <c r="D43" s="1"/>
      <c r="E43" s="1"/>
      <c r="F43" s="1"/>
      <c r="G43" s="1"/>
      <c r="H43" s="1"/>
      <c r="I43" s="1"/>
      <c r="K43" s="1"/>
      <c r="L43" s="1"/>
      <c r="M43" s="1"/>
      <c r="N43" s="1"/>
      <c r="O43" s="1"/>
      <c r="P43" s="1"/>
      <c r="Q43" s="1"/>
      <c r="S43" s="1"/>
      <c r="T43" s="1"/>
      <c r="U43" s="1"/>
      <c r="V43" s="1"/>
      <c r="W43" s="1"/>
      <c r="X43" s="1"/>
    </row>
    <row r="44" ht="15.75" customHeight="1">
      <c r="B44" s="1"/>
      <c r="C44" s="1"/>
      <c r="D44" s="1"/>
      <c r="E44" s="1"/>
      <c r="F44" s="1"/>
      <c r="G44" s="1"/>
      <c r="H44" s="1"/>
      <c r="I44" s="1"/>
      <c r="K44" s="1"/>
      <c r="L44" s="1"/>
      <c r="M44" s="1"/>
      <c r="N44" s="1"/>
      <c r="O44" s="1"/>
      <c r="P44" s="1"/>
      <c r="Q44" s="1"/>
      <c r="S44" s="1"/>
      <c r="T44" s="1"/>
      <c r="U44" s="1"/>
      <c r="V44" s="1"/>
      <c r="W44" s="1"/>
      <c r="X44" s="1"/>
    </row>
    <row r="45" ht="15.75" customHeight="1">
      <c r="B45" s="1"/>
      <c r="C45" s="1"/>
      <c r="D45" s="1"/>
      <c r="E45" s="1"/>
      <c r="F45" s="1"/>
      <c r="G45" s="1"/>
      <c r="H45" s="1"/>
      <c r="I45" s="1"/>
      <c r="K45" s="1"/>
      <c r="L45" s="1"/>
      <c r="M45" s="1"/>
      <c r="N45" s="1"/>
      <c r="O45" s="1"/>
      <c r="P45" s="1"/>
      <c r="Q45" s="1"/>
      <c r="S45" s="1"/>
      <c r="T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75" customHeight="1">
      <c r="B47" s="1"/>
      <c r="C47" s="1"/>
      <c r="D47" s="1"/>
      <c r="E47" s="1"/>
      <c r="F47" s="1"/>
      <c r="G47" s="1"/>
      <c r="H47" s="1"/>
      <c r="I47" s="1"/>
      <c r="K47" s="1"/>
      <c r="L47" s="1"/>
      <c r="M47" s="1"/>
      <c r="N47" s="1"/>
      <c r="O47" s="1"/>
      <c r="P47" s="1"/>
      <c r="Q47" s="1"/>
      <c r="S47" s="1"/>
      <c r="T47" s="1"/>
      <c r="U47" s="1"/>
      <c r="V47" s="1"/>
      <c r="W47" s="1"/>
      <c r="X47" s="1"/>
    </row>
    <row r="48" ht="15.75" customHeight="1">
      <c r="B48" s="1"/>
      <c r="C48" s="1"/>
      <c r="D48" s="1"/>
      <c r="E48" s="1"/>
      <c r="F48" s="1"/>
      <c r="G48" s="1"/>
      <c r="H48" s="1"/>
      <c r="I48" s="1"/>
      <c r="K48" s="1"/>
      <c r="L48" s="1"/>
      <c r="M48" s="1"/>
      <c r="N48" s="1"/>
      <c r="O48" s="1"/>
      <c r="P48" s="1"/>
      <c r="Q48" s="1"/>
      <c r="S48" s="1"/>
      <c r="T48" s="1"/>
      <c r="U48" s="1"/>
      <c r="V48" s="1"/>
      <c r="W48" s="1"/>
      <c r="X48" s="1"/>
    </row>
    <row r="49" ht="15.75" customHeight="1">
      <c r="B49" s="1"/>
      <c r="C49" s="1"/>
      <c r="D49" s="1"/>
      <c r="E49" s="1"/>
      <c r="F49" s="1"/>
      <c r="G49" s="1"/>
      <c r="H49" s="1"/>
      <c r="I49" s="1"/>
      <c r="K49" s="1"/>
      <c r="L49" s="1"/>
      <c r="M49" s="1"/>
      <c r="N49" s="1"/>
      <c r="O49" s="1"/>
      <c r="P49" s="1"/>
      <c r="Q49" s="1"/>
      <c r="S49" s="1"/>
      <c r="T49" s="1"/>
      <c r="U49" s="1"/>
      <c r="V49" s="1"/>
      <c r="W49" s="1"/>
      <c r="X49" s="1"/>
    </row>
    <row r="50" ht="15.75" customHeight="1">
      <c r="B50" s="1"/>
      <c r="C50" s="1"/>
      <c r="D50" s="1"/>
      <c r="E50" s="1"/>
      <c r="F50" s="1"/>
      <c r="G50" s="1"/>
      <c r="H50" s="1"/>
      <c r="I50" s="1"/>
      <c r="K50" s="1"/>
      <c r="L50" s="1"/>
      <c r="M50" s="1"/>
      <c r="N50" s="1"/>
      <c r="O50" s="1"/>
      <c r="P50" s="1"/>
      <c r="Q50" s="1"/>
      <c r="S50" s="1"/>
      <c r="T50" s="1"/>
      <c r="U50" s="1"/>
      <c r="V50" s="1"/>
      <c r="W50" s="1"/>
      <c r="X50" s="1"/>
    </row>
    <row r="51" ht="15.75" customHeight="1">
      <c r="B51" s="1"/>
      <c r="C51" s="1"/>
      <c r="D51" s="1"/>
      <c r="E51" s="1"/>
      <c r="F51" s="1"/>
      <c r="G51" s="1"/>
      <c r="H51" s="1"/>
      <c r="I51" s="1"/>
      <c r="K51" s="1"/>
      <c r="L51" s="1"/>
      <c r="M51" s="1"/>
      <c r="N51" s="1"/>
      <c r="O51" s="1"/>
      <c r="P51" s="1"/>
      <c r="Q51" s="1"/>
      <c r="S51" s="1"/>
      <c r="T51" s="1"/>
      <c r="U51" s="1"/>
      <c r="V51" s="1"/>
      <c r="W51" s="1"/>
      <c r="X51" s="1"/>
    </row>
    <row r="52" ht="15.75" customHeight="1">
      <c r="B52" s="1"/>
      <c r="C52" s="1"/>
      <c r="D52" s="1"/>
      <c r="E52" s="1"/>
      <c r="F52" s="1"/>
      <c r="G52" s="1"/>
      <c r="H52" s="1"/>
      <c r="I52" s="1"/>
      <c r="K52" s="1"/>
      <c r="L52" s="1"/>
      <c r="M52" s="1"/>
      <c r="N52" s="1"/>
      <c r="O52" s="1"/>
      <c r="P52" s="1"/>
      <c r="Q52" s="1"/>
      <c r="S52" s="1"/>
      <c r="T52" s="1"/>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c r="B238" s="1"/>
      <c r="C238" s="1"/>
      <c r="D238" s="1"/>
      <c r="E238" s="1"/>
      <c r="F238" s="1"/>
      <c r="G238" s="1"/>
      <c r="H238" s="1"/>
      <c r="I238" s="1"/>
      <c r="K238" s="1"/>
      <c r="L238" s="1"/>
      <c r="M238" s="1"/>
      <c r="N238" s="1"/>
      <c r="O238" s="1"/>
      <c r="P238" s="1"/>
      <c r="Q238" s="1"/>
      <c r="S238" s="1"/>
      <c r="T238" s="1"/>
      <c r="U238" s="1"/>
      <c r="V238" s="1"/>
      <c r="W238" s="1"/>
      <c r="X238" s="1"/>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4">
    <mergeCell ref="B1:I1"/>
    <mergeCell ref="B2:I2"/>
    <mergeCell ref="S5:X5"/>
    <mergeCell ref="K31:T3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2026-07-29T01:00:15Z</dcterms:created>
  <dc:creator>openpyxl</dc:creator>
</cp:coreProperties>
</file>

<file path=docProps/custom.xml><?xml version="1.0" encoding="utf-8"?>
<Properties xmlns="http://schemas.openxmlformats.org/officeDocument/2006/custom-properties" xmlns:vt="http://schemas.openxmlformats.org/officeDocument/2006/docPropsVTypes"/>
</file>